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nkedInSunanda\"/>
    </mc:Choice>
  </mc:AlternateContent>
  <xr:revisionPtr revIDLastSave="0" documentId="13_ncr:1_{7687EC64-F7E0-4031-86C6-63E5D9343A14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ummary" sheetId="1" r:id="rId1"/>
    <sheet name="All Posting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8" i="1"/>
  <c r="B7" i="1"/>
  <c r="B6" i="1"/>
  <c r="B5" i="1"/>
</calcChain>
</file>

<file path=xl/sharedStrings.xml><?xml version="1.0" encoding="utf-8"?>
<sst xmlns="http://schemas.openxmlformats.org/spreadsheetml/2006/main" count="94" uniqueCount="80">
  <si>
    <t>USA Funded Masters Programs - LinkedIn Postings</t>
  </si>
  <si>
    <t>Fields: Computer Science, MBA, Business Computing, Business Analytics  |  Window: January 2026 - September 16, 2026</t>
  </si>
  <si>
    <t>At a glance</t>
  </si>
  <si>
    <t>Total postings</t>
  </si>
  <si>
    <t>Computer Science</t>
  </si>
  <si>
    <t>MBA/Business</t>
  </si>
  <si>
    <t>Unique universities</t>
  </si>
  <si>
    <t>Postings by category</t>
  </si>
  <si>
    <t>Source: LinkedIn content search (linkedin.com/search/results/content), browsed under an authenticated LinkedIn session.</t>
  </si>
  <si>
    <t>Search phrases combined the target country name with funded-Masters terms (e.g. "fully funded masters" "computer science";</t>
  </si>
  <si>
    <t>"graduate assistantship" "MS in Computer Science"; "MBA scholarship" / "Business Analytics" + named business schools),</t>
  </si>
  <si>
    <t>plus direct professor/department/institution posts and scholarship-aggregator posts.</t>
  </si>
  <si>
    <t>Recency filter: LinkedIn shows only relative post age (e.g. "3w", "5mo"), read manually and screened to keep posts</t>
  </si>
  <si>
    <t>consistent with a January 2026 - present posting window (~8.5 months); older posts were excluded.</t>
  </si>
  <si>
    <t>Field filter: kept only postings whose core subject is Computer Science (incl. AI/ML/Data Science/Cybersecurity/Robotics)</t>
  </si>
  <si>
    <t>or Business (MBA, Business Computing, Business Analytics, Marketing, Finance, Economics, Information Systems).</t>
  </si>
  <si>
    <t>Country filter: each posting's stated university/institution location was verified as being in the target country.</t>
  </si>
  <si>
    <t>Funding note: most entries are fully-funded (tuition + stipend) assistantships or scholarships; a few are partial/merit-based</t>
  </si>
  <si>
    <t>tuition scholarships, called out explicitly in the Position Summary column where that is the case.</t>
  </si>
  <si>
    <t>No.</t>
  </si>
  <si>
    <t>University / Institution</t>
  </si>
  <si>
    <t>Location</t>
  </si>
  <si>
    <t>Department / Lab</t>
  </si>
  <si>
    <t>Category</t>
  </si>
  <si>
    <t>Subfield</t>
  </si>
  <si>
    <t>Position Summary</t>
  </si>
  <si>
    <t>Start / Deadline</t>
  </si>
  <si>
    <t>Contact</t>
  </si>
  <si>
    <t>LinkedIn Post Link</t>
  </si>
  <si>
    <t>Posted By</t>
  </si>
  <si>
    <t>Source Type</t>
  </si>
  <si>
    <t>Posted</t>
  </si>
  <si>
    <t>Arizona State University (ASU)</t>
  </si>
  <si>
    <t>Tempe, Arizona</t>
  </si>
  <si>
    <t>Mastercard Foundation Scholars Program</t>
  </si>
  <si>
    <t>General</t>
  </si>
  <si>
    <t>30 fully-funded Master's scholarships (2027-2028 intake) covering MS Computer Science, MS Information Technology, MS Data Science/Analytics &amp; Engineering, MS Robotics and Autonomous Systems, and related tech programs; covers tuition, housing, airfare, visa, healthcare, mentorship. Eligibility restricted to citizens of African countries.</t>
  </si>
  <si>
    <t>Deadline 27 September 2026, 2-year full-time on-campus program</t>
  </si>
  <si>
    <t>mastercardfndscholars@asu.edu</t>
  </si>
  <si>
    <t>https://lnkd.in/dSTR3PrJ</t>
  </si>
  <si>
    <t>Multiple aggregators</t>
  </si>
  <si>
    <t>Aggregator (ScholarshipTab/ApplyNow ZW/Opportunity Alerts)</t>
  </si>
  <si>
    <t>13h</t>
  </si>
  <si>
    <t>North Dakota State University</t>
  </si>
  <si>
    <t>Fargo, ND</t>
  </si>
  <si>
    <t>Computer Science (device-circuit design/Computer Architecture group)</t>
  </si>
  <si>
    <t>Fully funded MS or PhD positions in Computer Science: device-circuit design, computer architecture, cryogenic computing, and optimized hardware for machine learning and genomics applications</t>
  </si>
  <si>
    <t>Admission 2026</t>
  </si>
  <si>
    <t>sumitha.george@ndsu.edu</t>
  </si>
  <si>
    <t>https://lnkd.in/g7bf3Hb</t>
  </si>
  <si>
    <t>Sumitha George</t>
  </si>
  <si>
    <t>Professor (direct)</t>
  </si>
  <si>
    <t>8mo</t>
  </si>
  <si>
    <t>University of Tennessee at Chattanooga</t>
  </si>
  <si>
    <t>Chattanooga, TN</t>
  </si>
  <si>
    <t>Electrical Engineering and Computer Science</t>
  </si>
  <si>
    <t>Fully funded PhD and MS positions in Secure Wireless Communications - Electrical Engineering, Computer Engineering, Computer Science, AI, Wireless Communications</t>
  </si>
  <si>
    <t>Not specified</t>
  </si>
  <si>
    <t>https://lnkd.in/dJfd55sm</t>
  </si>
  <si>
    <t>PhDFinder</t>
  </si>
  <si>
    <t>Aggregator (PhDFinder)</t>
  </si>
  <si>
    <t>6mo</t>
  </si>
  <si>
    <t>22 member MBA programs (incl. Berkeley Haas, Carnegie Mellon Tepper, Columbia, Cornell, Dartmouth Tuck, Emory Goizueta, Georgetown McDonough, Indiana Kelley, Michigan Ross, MIT Sloan, NYU Stern, UNC Kenan-Flagler, Rice Jones, Texas McCombs, UVA Darden, USC Marshall, Vanderbilt Owen, Washington Foster, WashU Olin, Wisconsin, Yale SOM)</t>
  </si>
  <si>
    <t>Multiple US cities</t>
  </si>
  <si>
    <t>The Consortium for Graduate Study in Management</t>
  </si>
  <si>
    <t>One streamlined application to 22 top-ranked MBA programs, with eligibility for Consortium Fellowships including tuition scholarships from member schools; access to 12,000+ alumni network and Fortune 500 corporate partners</t>
  </si>
  <si>
    <t>Application opens 15 August</t>
  </si>
  <si>
    <t>https://loom.ly/jLJ1lS8</t>
  </si>
  <si>
    <t>Institution (direct)</t>
  </si>
  <si>
    <t>1mo</t>
  </si>
  <si>
    <t>Dominican University of California</t>
  </si>
  <si>
    <t>San Rafael, CA</t>
  </si>
  <si>
    <t>Barowsky School of Business</t>
  </si>
  <si>
    <t>Business Analytics/AI</t>
  </si>
  <si>
    <t>MS in Business Analytics and Artificial Intelligence (MSBA-AI), STEM-designated, 12-month hybrid program. Merit scholarships based on GPA: 30% off (3.55-4.0 GPA, ~3,240 off), 20% off (3.35-3.54), 10% off (3.25-3.34). Note: merit-based partial tuition scholarship, not full funding.</t>
  </si>
  <si>
    <t>Fall 2026 cohort</t>
  </si>
  <si>
    <t>Admissions</t>
  </si>
  <si>
    <t>https://lnkd.in/gr2eKvM5</t>
  </si>
  <si>
    <t>Barowsky School of Business - Dominican University of California</t>
  </si>
  <si>
    <t>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</si>
</sst>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6E51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8.5"/>
      <color rgb="FF595959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6E51"/>
        <bgColor rgb="FF008080"/>
      </patternFill>
    </fill>
    <fill>
      <patternFill patternType="solid">
        <fgColor rgb="FFDDEBF7"/>
        <bgColor rgb="FFD9D9D9"/>
      </patternFill>
    </fill>
    <fill>
      <patternFill patternType="solid">
        <fgColor rgb="FFFCE4D6"/>
        <b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51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Postings" displayName="MastersPostings" ref="A1:M6" totalsRowShown="0">
  <autoFilter ref="A1:M6" xr:uid="{00000000-0009-0000-0100-000001000000}"/>
  <tableColumns count="13">
    <tableColumn id="1" xr3:uid="{00000000-0010-0000-0000-000001000000}" name="No." dataDxfId="0"/>
    <tableColumn id="2" xr3:uid="{00000000-0010-0000-0000-000002000000}" name="University / Institution"/>
    <tableColumn id="3" xr3:uid="{00000000-0010-0000-0000-000003000000}" name="Location"/>
    <tableColumn id="4" xr3:uid="{00000000-0010-0000-0000-000004000000}" name="Department / Lab"/>
    <tableColumn id="5" xr3:uid="{00000000-0010-0000-0000-000005000000}" name="Category"/>
    <tableColumn id="6" xr3:uid="{00000000-0010-0000-0000-000006000000}" name="Subfield"/>
    <tableColumn id="7" xr3:uid="{00000000-0010-0000-0000-000007000000}" name="Position Summary"/>
    <tableColumn id="8" xr3:uid="{00000000-0010-0000-0000-000008000000}" name="Start / Deadline"/>
    <tableColumn id="9" xr3:uid="{00000000-0010-0000-0000-000009000000}" name="Contact"/>
    <tableColumn id="10" xr3:uid="{00000000-0010-0000-0000-00000A000000}" name="LinkedIn Post Link"/>
    <tableColumn id="11" xr3:uid="{00000000-0010-0000-0000-00000B000000}" name="Posted By"/>
    <tableColumn id="12" xr3:uid="{00000000-0010-0000-0000-00000C000000}" name="Source Type"/>
    <tableColumn id="13" xr3:uid="{00000000-0010-0000-0000-00000D000000}" name="Pos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opLeftCell="A3" zoomScaleNormal="100" workbookViewId="0">
      <selection activeCell="B8" sqref="B8"/>
    </sheetView>
  </sheetViews>
  <sheetFormatPr defaultColWidth="8.7109375" defaultRowHeight="15" x14ac:dyDescent="0.25"/>
  <cols>
    <col min="1" max="1" width="34" customWidth="1"/>
    <col min="2" max="2" width="19.140625" customWidth="1"/>
    <col min="3" max="3" width="34" customWidth="1"/>
    <col min="4" max="4" width="16" customWidth="1"/>
  </cols>
  <sheetData>
    <row r="1" spans="1:4" ht="20.25" x14ac:dyDescent="0.3">
      <c r="A1" s="3" t="s">
        <v>0</v>
      </c>
      <c r="B1" s="3"/>
      <c r="C1" s="3"/>
      <c r="D1" s="3"/>
    </row>
    <row r="2" spans="1:4" x14ac:dyDescent="0.25">
      <c r="A2" s="2" t="s">
        <v>1</v>
      </c>
      <c r="B2" s="2"/>
      <c r="C2" s="2"/>
      <c r="D2" s="2"/>
    </row>
    <row r="4" spans="1:4" x14ac:dyDescent="0.25">
      <c r="A4" s="4" t="s">
        <v>2</v>
      </c>
    </row>
    <row r="5" spans="1:4" x14ac:dyDescent="0.25">
      <c r="A5" s="5" t="s">
        <v>3</v>
      </c>
      <c r="B5" s="6">
        <f>COUNTA('All Postings'!A2:A6)</f>
        <v>5</v>
      </c>
    </row>
    <row r="6" spans="1:4" x14ac:dyDescent="0.25">
      <c r="A6" s="5" t="s">
        <v>4</v>
      </c>
      <c r="B6" s="6">
        <f>COUNTIF('All Postings'!E2:E6,"Computer Science")</f>
        <v>3</v>
      </c>
    </row>
    <row r="7" spans="1:4" x14ac:dyDescent="0.25">
      <c r="A7" s="5" t="s">
        <v>5</v>
      </c>
      <c r="B7" s="6">
        <f>COUNTIF('All Postings'!E2:E6,"MBA/Business")</f>
        <v>2</v>
      </c>
    </row>
    <row r="8" spans="1:4" x14ac:dyDescent="0.25">
      <c r="A8" s="5" t="s">
        <v>6</v>
      </c>
      <c r="B8" s="6" t="e">
        <f>SUMPRODUCT((COUNTIF('All Postings'!B2:B6,'All Postings'!B2:B6)&gt;0)/COUNTIF('All Postings'!B2:B6,'All Postings'!B2:B6))</f>
        <v>#VALUE!</v>
      </c>
    </row>
    <row r="10" spans="1:4" x14ac:dyDescent="0.25">
      <c r="A10" s="4" t="s">
        <v>7</v>
      </c>
    </row>
    <row r="11" spans="1:4" x14ac:dyDescent="0.25">
      <c r="A11" s="5" t="s">
        <v>4</v>
      </c>
      <c r="B11" s="7">
        <f>COUNTIF('All Postings'!E2:E6,"Computer Science")</f>
        <v>3</v>
      </c>
    </row>
    <row r="12" spans="1:4" x14ac:dyDescent="0.25">
      <c r="A12" s="5" t="s">
        <v>5</v>
      </c>
      <c r="B12" s="7">
        <f>COUNTIF('All Postings'!E2:E6,"MBA/Business")</f>
        <v>2</v>
      </c>
    </row>
    <row r="14" spans="1:4" x14ac:dyDescent="0.25">
      <c r="A14" s="1" t="s">
        <v>8</v>
      </c>
      <c r="B14" s="1"/>
      <c r="C14" s="1"/>
      <c r="D14" s="1"/>
    </row>
    <row r="15" spans="1:4" x14ac:dyDescent="0.25">
      <c r="A15" s="1" t="s">
        <v>9</v>
      </c>
      <c r="B15" s="1"/>
      <c r="C15" s="1"/>
      <c r="D15" s="1"/>
    </row>
    <row r="16" spans="1:4" x14ac:dyDescent="0.25">
      <c r="A16" s="1" t="s">
        <v>10</v>
      </c>
      <c r="B16" s="1"/>
      <c r="C16" s="1"/>
      <c r="D16" s="1"/>
    </row>
    <row r="17" spans="1:4" x14ac:dyDescent="0.25">
      <c r="A17" s="1" t="s">
        <v>11</v>
      </c>
      <c r="B17" s="1"/>
      <c r="C17" s="1"/>
      <c r="D17" s="1"/>
    </row>
    <row r="18" spans="1:4" x14ac:dyDescent="0.25">
      <c r="A18" s="1" t="s">
        <v>12</v>
      </c>
      <c r="B18" s="1"/>
      <c r="C18" s="1"/>
      <c r="D18" s="1"/>
    </row>
    <row r="19" spans="1:4" x14ac:dyDescent="0.25">
      <c r="A19" s="1" t="s">
        <v>13</v>
      </c>
      <c r="B19" s="1"/>
      <c r="C19" s="1"/>
      <c r="D19" s="1"/>
    </row>
    <row r="20" spans="1:4" x14ac:dyDescent="0.25">
      <c r="A20" s="1" t="s">
        <v>14</v>
      </c>
      <c r="B20" s="1"/>
      <c r="C20" s="1"/>
      <c r="D20" s="1"/>
    </row>
    <row r="21" spans="1:4" x14ac:dyDescent="0.25">
      <c r="A21" s="1" t="s">
        <v>15</v>
      </c>
      <c r="B21" s="1"/>
      <c r="C21" s="1"/>
      <c r="D21" s="1"/>
    </row>
    <row r="22" spans="1:4" x14ac:dyDescent="0.25">
      <c r="A22" s="1" t="s">
        <v>16</v>
      </c>
      <c r="B22" s="1"/>
      <c r="C22" s="1"/>
      <c r="D22" s="1"/>
    </row>
    <row r="23" spans="1:4" x14ac:dyDescent="0.25">
      <c r="A23" s="1" t="s">
        <v>17</v>
      </c>
      <c r="B23" s="1"/>
      <c r="C23" s="1"/>
      <c r="D23" s="1"/>
    </row>
    <row r="24" spans="1:4" x14ac:dyDescent="0.25">
      <c r="A24" s="1" t="s">
        <v>18</v>
      </c>
      <c r="B24" s="1"/>
      <c r="C24" s="1"/>
      <c r="D24" s="1"/>
    </row>
  </sheetData>
  <mergeCells count="13">
    <mergeCell ref="A22:D22"/>
    <mergeCell ref="A23:D23"/>
    <mergeCell ref="A24:D24"/>
    <mergeCell ref="A17:D17"/>
    <mergeCell ref="A18:D18"/>
    <mergeCell ref="A19:D19"/>
    <mergeCell ref="A20:D20"/>
    <mergeCell ref="A21:D21"/>
    <mergeCell ref="A1:D1"/>
    <mergeCell ref="A2:D2"/>
    <mergeCell ref="A14:D14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14.28515625" style="13" customWidth="1"/>
    <col min="2" max="2" width="30" customWidth="1"/>
    <col min="3" max="3" width="18.5703125" customWidth="1"/>
    <col min="4" max="4" width="32" customWidth="1"/>
    <col min="5" max="5" width="16" customWidth="1"/>
    <col min="6" max="6" width="26" customWidth="1"/>
    <col min="7" max="7" width="48" customWidth="1"/>
    <col min="8" max="8" width="35.140625" customWidth="1"/>
    <col min="9" max="9" width="31" customWidth="1"/>
    <col min="10" max="10" width="24" customWidth="1"/>
    <col min="11" max="12" width="22" customWidth="1"/>
    <col min="13" max="13" width="9" customWidth="1"/>
  </cols>
  <sheetData>
    <row r="1" spans="1:13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</row>
    <row r="2" spans="1:13" ht="127.5" customHeight="1" x14ac:dyDescent="0.25">
      <c r="A2" s="11">
        <v>1</v>
      </c>
      <c r="B2" s="9" t="s">
        <v>32</v>
      </c>
      <c r="C2" s="9" t="s">
        <v>33</v>
      </c>
      <c r="D2" s="9" t="s">
        <v>34</v>
      </c>
      <c r="E2" s="9" t="s">
        <v>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</row>
    <row r="3" spans="1:13" ht="78.75" customHeight="1" x14ac:dyDescent="0.25">
      <c r="A3" s="11">
        <v>2</v>
      </c>
      <c r="B3" s="9" t="s">
        <v>43</v>
      </c>
      <c r="C3" s="9" t="s">
        <v>44</v>
      </c>
      <c r="D3" s="9" t="s">
        <v>45</v>
      </c>
      <c r="E3" s="9" t="s">
        <v>4</v>
      </c>
      <c r="F3" s="9" t="s">
        <v>35</v>
      </c>
      <c r="G3" s="9" t="s">
        <v>46</v>
      </c>
      <c r="H3" s="9" t="s">
        <v>47</v>
      </c>
      <c r="I3" s="9" t="s">
        <v>48</v>
      </c>
      <c r="J3" s="9" t="s">
        <v>49</v>
      </c>
      <c r="K3" s="9" t="s">
        <v>50</v>
      </c>
      <c r="L3" s="9" t="s">
        <v>51</v>
      </c>
      <c r="M3" s="9" t="s">
        <v>52</v>
      </c>
    </row>
    <row r="4" spans="1:13" ht="77.25" customHeight="1" x14ac:dyDescent="0.25">
      <c r="A4" s="11">
        <v>3</v>
      </c>
      <c r="B4" s="9" t="s">
        <v>53</v>
      </c>
      <c r="C4" s="9" t="s">
        <v>54</v>
      </c>
      <c r="D4" s="9" t="s">
        <v>55</v>
      </c>
      <c r="E4" s="9" t="s">
        <v>4</v>
      </c>
      <c r="F4" s="9" t="s">
        <v>35</v>
      </c>
      <c r="G4" s="9" t="s">
        <v>56</v>
      </c>
      <c r="H4" s="9" t="s">
        <v>57</v>
      </c>
      <c r="I4" s="9" t="s">
        <v>57</v>
      </c>
      <c r="J4" s="9" t="s">
        <v>58</v>
      </c>
      <c r="K4" s="9" t="s">
        <v>59</v>
      </c>
      <c r="L4" s="9" t="s">
        <v>60</v>
      </c>
      <c r="M4" s="9" t="s">
        <v>61</v>
      </c>
    </row>
    <row r="5" spans="1:13" ht="189.75" customHeight="1" x14ac:dyDescent="0.25">
      <c r="A5" s="12">
        <v>4</v>
      </c>
      <c r="B5" s="10" t="s">
        <v>62</v>
      </c>
      <c r="C5" s="10" t="s">
        <v>63</v>
      </c>
      <c r="D5" s="10" t="s">
        <v>64</v>
      </c>
      <c r="E5" s="10" t="s">
        <v>5</v>
      </c>
      <c r="F5" s="10" t="s">
        <v>35</v>
      </c>
      <c r="G5" s="10" t="s">
        <v>65</v>
      </c>
      <c r="H5" s="10" t="s">
        <v>66</v>
      </c>
      <c r="I5" s="10" t="s">
        <v>57</v>
      </c>
      <c r="J5" s="10" t="s">
        <v>67</v>
      </c>
      <c r="K5" s="10" t="s">
        <v>64</v>
      </c>
      <c r="L5" s="10" t="s">
        <v>68</v>
      </c>
      <c r="M5" s="10" t="s">
        <v>69</v>
      </c>
    </row>
    <row r="6" spans="1:13" ht="45.75" customHeight="1" x14ac:dyDescent="0.25">
      <c r="A6" s="12">
        <v>5</v>
      </c>
      <c r="B6" s="10" t="s">
        <v>70</v>
      </c>
      <c r="C6" s="10" t="s">
        <v>71</v>
      </c>
      <c r="D6" s="10" t="s">
        <v>72</v>
      </c>
      <c r="E6" s="10" t="s">
        <v>5</v>
      </c>
      <c r="F6" s="10" t="s">
        <v>73</v>
      </c>
      <c r="G6" s="10" t="s">
        <v>74</v>
      </c>
      <c r="H6" s="10" t="s">
        <v>75</v>
      </c>
      <c r="I6" s="10" t="s">
        <v>76</v>
      </c>
      <c r="J6" s="10" t="s">
        <v>77</v>
      </c>
      <c r="K6" s="10" t="s">
        <v>78</v>
      </c>
      <c r="L6" s="10" t="s">
        <v>68</v>
      </c>
      <c r="M6" s="10" t="s">
        <v>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Sunanda Biswas</cp:lastModifiedBy>
  <cp:revision>0</cp:revision>
  <dcterms:created xsi:type="dcterms:W3CDTF">2026-09-16T07:46:30Z</dcterms:created>
  <dcterms:modified xsi:type="dcterms:W3CDTF">2026-09-16T08:13:26Z</dcterms:modified>
  <dc:language>en-US</dc:language>
</cp:coreProperties>
</file>