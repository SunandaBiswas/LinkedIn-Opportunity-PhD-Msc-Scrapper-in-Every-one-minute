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inkedInSunanda\"/>
    </mc:Choice>
  </mc:AlternateContent>
  <xr:revisionPtr revIDLastSave="0" documentId="13_ncr:1_{4594F4A9-D234-4331-A930-DD27EDDABEC9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Summary" sheetId="1" r:id="rId1"/>
    <sheet name="All Posting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<sst xmlns="http://schemas.openxmlformats.org/spreadsheetml/2006/main" count="622" uniqueCount="375">
  <si>
    <t>USA University PhD Opportunities — Scraped from LinkedIn</t>
  </si>
  <si>
    <t>STEM &amp; MBA/Business fields | University, professor, and lab pages | Compiled for Sunanda Biswas</t>
  </si>
  <si>
    <t>Generated: September 16, 2026</t>
  </si>
  <si>
    <t>At a glance</t>
  </si>
  <si>
    <t>Total postings collected</t>
  </si>
  <si>
    <t>STEM postings</t>
  </si>
  <si>
    <t>STEM-adjacent postings</t>
  </si>
  <si>
    <t>MBA/Business postings</t>
  </si>
  <si>
    <t>Unique universities</t>
  </si>
  <si>
    <t>Postings by state (top 15)</t>
  </si>
  <si>
    <t>State</t>
  </si>
  <si>
    <t>Count</t>
  </si>
  <si>
    <t>PA</t>
  </si>
  <si>
    <t>TX</t>
  </si>
  <si>
    <t>AR</t>
  </si>
  <si>
    <t>AZ</t>
  </si>
  <si>
    <t>CA</t>
  </si>
  <si>
    <t>MA</t>
  </si>
  <si>
    <t>NY</t>
  </si>
  <si>
    <t>SC</t>
  </si>
  <si>
    <t>FL</t>
  </si>
  <si>
    <t>NC</t>
  </si>
  <si>
    <t>TN</t>
  </si>
  <si>
    <t>VA</t>
  </si>
  <si>
    <t>AK</t>
  </si>
  <si>
    <t>DE</t>
  </si>
  <si>
    <t>KS</t>
  </si>
  <si>
    <t>How this was built</t>
  </si>
  <si>
    <t>Source: LinkedIn post/content search (linkedin.com/search/results/content), browsed live via Claude in Chrome under Sunanda Biswas's account.</t>
  </si>
  <si>
    <t>Search terms used included: "PhD position" university, "seeking PhD students" lab, "join my lab" PhD 2027, "recruiting PhD students" lab,</t>
  </si>
  <si>
    <t>"PhD student" "computer science" lab recruiting, "PhD in business"/"doctoral program" business school, and similar phrase searches.</t>
  </si>
  <si>
    <t>Only posts naming a USA-based university, professor, or lab page were kept; non-US postings (UK, EU, Asia-Pacific, Africa, etc.) were excluded.</t>
  </si>
  <si>
    <t>"Start/Deadline" and "Contact" are copied as written in the original LinkedIn post — always verify against the official university/lab page before applying.</t>
  </si>
  <si>
    <t>Some posts are months old and their stated deadline may have already passed; "Posted" shows how old the post was at time of collection (Sept 16, 2026).</t>
  </si>
  <si>
    <t>This is a single-pass snapshot, not a live feed — re-run the search periodically to catch newly posted openings.</t>
  </si>
  <si>
    <t>No.</t>
  </si>
  <si>
    <t>University</t>
  </si>
  <si>
    <t>Department / Lab</t>
  </si>
  <si>
    <t>Category</t>
  </si>
  <si>
    <t>Subfield</t>
  </si>
  <si>
    <t>Position Summary</t>
  </si>
  <si>
    <t>Start / Deadline</t>
  </si>
  <si>
    <t>Contact</t>
  </si>
  <si>
    <t>LinkedIn Post Link</t>
  </si>
  <si>
    <t>Posted By</t>
  </si>
  <si>
    <t>Source Type</t>
  </si>
  <si>
    <t>Posted</t>
  </si>
  <si>
    <t>Pennsylvania State University</t>
  </si>
  <si>
    <t>Environmental/Agricultural Engineering</t>
  </si>
  <si>
    <t>STEM</t>
  </si>
  <si>
    <t>Engineering</t>
  </si>
  <si>
    <t>PhD Position on Evaluating and Modeling Best Management Practices</t>
  </si>
  <si>
    <t>Not specified</t>
  </si>
  <si>
    <t>https://lnkd.in/eX3uyycd</t>
  </si>
  <si>
    <t>Mohamed Abioui</t>
  </si>
  <si>
    <t>Professor/Lab (shared)</t>
  </si>
  <si>
    <t>4w</t>
  </si>
  <si>
    <t>University of Houston</t>
  </si>
  <si>
    <t>Petroleum Engineering</t>
  </si>
  <si>
    <t>Fully funded PhD positions, starting Spring 2027 or Fall 2027</t>
  </si>
  <si>
    <t>Spring/Fall 2027</t>
  </si>
  <si>
    <t>https://lnkd.in/egwT5HZG</t>
  </si>
  <si>
    <t>Ray Madison</t>
  </si>
  <si>
    <t>Aggregator page (Owlindex)</t>
  </si>
  <si>
    <t>1d</t>
  </si>
  <si>
    <t>Ohio State University</t>
  </si>
  <si>
    <t>OH</t>
  </si>
  <si>
    <t>Electrical and Computer Engineering</t>
  </si>
  <si>
    <t>2-3 fully funded PhD positions</t>
  </si>
  <si>
    <t>https://lnkd.in/exDniMue</t>
  </si>
  <si>
    <t>Rutgers University - New Brunswick</t>
  </si>
  <si>
    <t>NJ</t>
  </si>
  <si>
    <t>Ecology, Evolution &amp; Natural Resources (Sauer Lab)</t>
  </si>
  <si>
    <t>Biology/Ecology</t>
  </si>
  <si>
    <t>PhD student to study disease ecology of cavity nesting wild birds (avian disease ecology)</t>
  </si>
  <si>
    <t>Start Fall 2027; applications due Dec 1, 2026</t>
  </si>
  <si>
    <t>Erin L. Sauer, Assistant Professor - via sauerlab.com</t>
  </si>
  <si>
    <t>https://lnkd.in/euV7SzYw</t>
  </si>
  <si>
    <t>US Master's and PhD Assistantships</t>
  </si>
  <si>
    <t>Aggregator page</t>
  </si>
  <si>
    <t>2w</t>
  </si>
  <si>
    <t>University of California, Riverside</t>
  </si>
  <si>
    <t>Power Systems / Power Electronics</t>
  </si>
  <si>
    <t>Electrical Engineering</t>
  </si>
  <si>
    <t>Funded PhD Positions in Power Systems, Power Electronics, and Control</t>
  </si>
  <si>
    <t>https://lnkd.in/e4ahemxE</t>
  </si>
  <si>
    <t>7h</t>
  </si>
  <si>
    <t>Kansas State University</t>
  </si>
  <si>
    <t>Civil Engineering (Volponi Lab)</t>
  </si>
  <si>
    <t>2x PhD Positions in Contaminant Hydrology - fate/transport of contaminants through rivers and soils</t>
  </si>
  <si>
    <t>Spring (Jan) or Fall (Aug) 2027, January preferred</t>
  </si>
  <si>
    <t>Dr. Sabrina Volponi - svolponi@ksu.edu</t>
  </si>
  <si>
    <t>https://lnkd.in/e8UKsD8u</t>
  </si>
  <si>
    <t>3w</t>
  </si>
  <si>
    <t>NC State University</t>
  </si>
  <si>
    <t>Marine Microbiology (Paerl Lab, NOAA ECOHAB)</t>
  </si>
  <si>
    <t>Biology/Marine Science</t>
  </si>
  <si>
    <t>PhD Research Position studying harmful algal blooms, brown tide, B-vitamin dynamics in coastal waters</t>
  </si>
  <si>
    <t>Start January 2027; 3 years RA funding</t>
  </si>
  <si>
    <t>Mohsin Ihsan</t>
  </si>
  <si>
    <t>SUNY Albany (University at Albany)</t>
  </si>
  <si>
    <t>Environmental and Sustainable Engineering (Dr. Lu Li's lab)</t>
  </si>
  <si>
    <t>PhD students for research on Building Info Modelling/Digital Twin, Indoor/Outdoor Air Quality, Building Energy &amp; HVAC, AI in Built Environment</t>
  </si>
  <si>
    <t>Fall 2026 or Spring 2026</t>
  </si>
  <si>
    <t>Dr. Lu Li, Assistant Professor</t>
  </si>
  <si>
    <t>(Lab post, source page not fully captured)</t>
  </si>
  <si>
    <t>Screenshot capture</t>
  </si>
  <si>
    <t>George Mason University</t>
  </si>
  <si>
    <t>Electrical and Computer Engineering (ECE)</t>
  </si>
  <si>
    <t>Engineering (Robotics)</t>
  </si>
  <si>
    <t>Fully Funded PhD Opportunity in Robotics and Control, flexible Spring/Fall 2027 start</t>
  </si>
  <si>
    <t>Engineering Technology</t>
  </si>
  <si>
    <t>Fully funded PhD position in Sustainable Biomanufacturing</t>
  </si>
  <si>
    <t>https://lnkd.in/dzSsnYik</t>
  </si>
  <si>
    <t>10h</t>
  </si>
  <si>
    <t>Vanderbilt University</t>
  </si>
  <si>
    <t>Special Education</t>
  </si>
  <si>
    <t>STEM-adjacent</t>
  </si>
  <si>
    <t>Education</t>
  </si>
  <si>
    <t>Fully funded PhD positions in Special Education</t>
  </si>
  <si>
    <t>https://lnkd.in/dr7RRYQC</t>
  </si>
  <si>
    <t>University of Maryland</t>
  </si>
  <si>
    <t>MD</t>
  </si>
  <si>
    <t>University of Texas at Austin</t>
  </si>
  <si>
    <t>University of Central Florida (UCF)</t>
  </si>
  <si>
    <t>Electrical and Computer Engineering (iCPS Lab)</t>
  </si>
  <si>
    <t>Engineering/Robotics/AI</t>
  </si>
  <si>
    <t>2 Funded PhD Student Positions - control, optimization, ML/AI for robotics &amp; autonomous CPS</t>
  </si>
  <si>
    <t>Spring or Fall 2026; app fee waived by Nov 1</t>
  </si>
  <si>
    <t>Truong Xuan Nghiem, Associate Professor</t>
  </si>
  <si>
    <t>https://lnkd.in/g3MwVbmD</t>
  </si>
  <si>
    <t>Gradixa / Truong Xuan Nghiem</t>
  </si>
  <si>
    <t>Professor/Lab (shared repost)</t>
  </si>
  <si>
    <t>11mo</t>
  </si>
  <si>
    <t>University of Arkansas</t>
  </si>
  <si>
    <t>(unspecified)</t>
  </si>
  <si>
    <t>Now Hiring - Funded PhD Position</t>
  </si>
  <si>
    <t>https://lnkd.in/erWT4zKc</t>
  </si>
  <si>
    <t>Gradixa</t>
  </si>
  <si>
    <t>North Carolina A&amp;T State University</t>
  </si>
  <si>
    <t>Cybersecurity and Artificial Intelligence</t>
  </si>
  <si>
    <t>Computer Science</t>
  </si>
  <si>
    <t>Funded PhD position in Cybersecurity and Artificial Intelligence</t>
  </si>
  <si>
    <t>https://lnkd.in/enPnteVU</t>
  </si>
  <si>
    <t>2d</t>
  </si>
  <si>
    <t>University of Alaska Anchorage</t>
  </si>
  <si>
    <t>Environmental Engineering (Dev Research Lab)</t>
  </si>
  <si>
    <t>PhD student to develop sustainable bioremediation processes for recovering critical minerals from mining waste</t>
  </si>
  <si>
    <t>Start Spring 2027</t>
  </si>
  <si>
    <t>Dr. Dev Subhabrata - sdev@alaska.edu</t>
  </si>
  <si>
    <t>Dev Subhabrata</t>
  </si>
  <si>
    <t>Professor/Lab (original post)</t>
  </si>
  <si>
    <t>Northeastern University</t>
  </si>
  <si>
    <t>Interdisciplinary Design &amp; Media, CAMD (CHAI Lab)</t>
  </si>
  <si>
    <t>Human-Centered Conversational AI</t>
  </si>
  <si>
    <t>PhD student for research on Human-Centered Conversational AI, Human-AI Collaboration, Personalization</t>
  </si>
  <si>
    <t>Fall 2027</t>
  </si>
  <si>
    <t>Smit Desai</t>
  </si>
  <si>
    <t>CHAI Lab @ Northeastern University</t>
  </si>
  <si>
    <t>Lab page (original post)</t>
  </si>
  <si>
    <t>17h</t>
  </si>
  <si>
    <t>Arkansas State University</t>
  </si>
  <si>
    <t>College of Veterinary Medicine, Molecular Biosciences PhD Program (R-Lab)</t>
  </si>
  <si>
    <t>Microbiology/Veterinary Science</t>
  </si>
  <si>
    <t>PhD student researching poultry pathogens (APEC), genomics, virulence, host-pathogen interactions, One Health</t>
  </si>
  <si>
    <t>Spring 2027 deadline Sept 15, 2026; Fall 2027 deadline Feb 15, 2027</t>
  </si>
  <si>
    <t>Dr. Klao Runcharoon</t>
  </si>
  <si>
    <t>https://lnkd.in/g2SWsam3</t>
  </si>
  <si>
    <t>Klao Runcharoon</t>
  </si>
  <si>
    <t>Food Science</t>
  </si>
  <si>
    <t>Food Science/Bioinformatics</t>
  </si>
  <si>
    <t>PhD student for structural bioinformatics, food proteins, and enzymology research</t>
  </si>
  <si>
    <t>Fall 2026; applications due Dec 2025 (deadline likely passed)</t>
  </si>
  <si>
    <t>Prof. Yi Zhang, via Penn State Grad School portal</t>
  </si>
  <si>
    <t>Yi Zhang</t>
  </si>
  <si>
    <t>10mo</t>
  </si>
  <si>
    <t>University of Central Florida</t>
  </si>
  <si>
    <t>Materials Science / Physics / Mechanical Engineering</t>
  </si>
  <si>
    <t>Materials Science/Energy</t>
  </si>
  <si>
    <t>PhD student for experimental energy storage research (battery materials, non-destructive characterization)</t>
  </si>
  <si>
    <t>Fall 2026; deadline Dec 1, 2025 (likely passed)</t>
  </si>
  <si>
    <t>yuxun.ren@ucf.edu</t>
  </si>
  <si>
    <t>https://lnkd.in/eiB2kD7P</t>
  </si>
  <si>
    <t>Yu-Xun (You-Shun) Ren</t>
  </si>
  <si>
    <t>Arizona State University</t>
  </si>
  <si>
    <t>School of Manufacturing Systems and Networks (Semantic Computing Lab)</t>
  </si>
  <si>
    <t>AI/Manufacturing Engineering</t>
  </si>
  <si>
    <t>Funded PhD position on generative AI for autonomous composition of resilient supply chains</t>
  </si>
  <si>
    <t>Dr. Farhad Ameri - farhad.ameri@asu.edu</t>
  </si>
  <si>
    <t>Farhad Ameri</t>
  </si>
  <si>
    <t>Animal/Veterinary Science (Lorenzoni Lab)</t>
  </si>
  <si>
    <t>Veterinary Science/Animal Health</t>
  </si>
  <si>
    <t>PhD student for avian disease research; competitive stipend and full tuition support</t>
  </si>
  <si>
    <t>Start Summer or Fall 2026</t>
  </si>
  <si>
    <t>agl20@psu.edu</t>
  </si>
  <si>
    <t>Mahmoud Mahmoud (sharing Lorenzoni Lab posting)</t>
  </si>
  <si>
    <t>5mo</t>
  </si>
  <si>
    <t>University of Missouri-Kansas City (UMKC)</t>
  </si>
  <si>
    <t>MO</t>
  </si>
  <si>
    <t>Biomaterials and Tissue Engineering</t>
  </si>
  <si>
    <t>Biomedical/Materials Engineering</t>
  </si>
  <si>
    <t>1-2 PhD students for biomaterials, regenerative medicine, and cell culture research</t>
  </si>
  <si>
    <t>Fall 2026 or Spring 2027</t>
  </si>
  <si>
    <t>le.yu@umkc.edu</t>
  </si>
  <si>
    <t>Le (Jasper) Yu</t>
  </si>
  <si>
    <t>3mo</t>
  </si>
  <si>
    <t>University of Texas at Dallas (UTD)</t>
  </si>
  <si>
    <t>Computer Science - Cybersecurity/Networking</t>
  </si>
  <si>
    <t>Computer Science/Cybersecurity</t>
  </si>
  <si>
    <t>2 fully funded PhD positions - Security of SDN/Programmable Data Planes, Network Slicing/Privacy, SDN-driven Smart Agriculture</t>
  </si>
  <si>
    <t>Fall 2026 / Spring 2027</t>
  </si>
  <si>
    <t>mingc@ksu.edu (as stated in post)</t>
  </si>
  <si>
    <t>Mingming Chen</t>
  </si>
  <si>
    <t>University of Rhode Island</t>
  </si>
  <si>
    <t>RI</t>
  </si>
  <si>
    <t>College of Business - Accounting</t>
  </si>
  <si>
    <t>MBA/Business</t>
  </si>
  <si>
    <t>Accounting</t>
  </si>
  <si>
    <t>New PhD in Business Administration accounting specialization launched</t>
  </si>
  <si>
    <t>Fall 2027; applications open now</t>
  </si>
  <si>
    <t>https://lnkd.in/g-Diuwqa</t>
  </si>
  <si>
    <t>Anis Triki / University of Rhode Island</t>
  </si>
  <si>
    <t>University page (original post)</t>
  </si>
  <si>
    <t>University of Pittsburgh (Katz Graduate School of Business)</t>
  </si>
  <si>
    <t>PhD Program (general business)</t>
  </si>
  <si>
    <t>General</t>
  </si>
  <si>
    <t>PhD Program application open for Fall 2027 start</t>
  </si>
  <si>
    <t>https://bit.ly/4fsrL1h</t>
  </si>
  <si>
    <t>University of Pittsburgh School of Business</t>
  </si>
  <si>
    <t>1mo</t>
  </si>
  <si>
    <t>Bentley University</t>
  </si>
  <si>
    <t>Executive PhD in Business</t>
  </si>
  <si>
    <t>Executive PhD program applications open for Fall 2026</t>
  </si>
  <si>
    <t>Fall 2026</t>
  </si>
  <si>
    <t>https://ow.ly/2QzR50XKXG9</t>
  </si>
  <si>
    <t>8mo</t>
  </si>
  <si>
    <t>University of Louisville</t>
  </si>
  <si>
    <t>KY</t>
  </si>
  <si>
    <t>College of Business - Entrepreneurship PhD</t>
  </si>
  <si>
    <t>Entrepreneurship</t>
  </si>
  <si>
    <t>Nation's longest-running Entrepreneurship PhD program; applications open</t>
  </si>
  <si>
    <t>Deadline Dec 31, 2025 (likely passed)</t>
  </si>
  <si>
    <t>Daniel Bennett</t>
  </si>
  <si>
    <t>9mo</t>
  </si>
  <si>
    <t>Temple University (Fox School of Business)</t>
  </si>
  <si>
    <t>PhD Program - Accounting, Finance, HR/OB, MIS, Marketing, Ops/Supply Chain, Risk Mgmt/Insurance, Statistics, Strategic Mgmt, Tourism/Sport</t>
  </si>
  <si>
    <t>PhD admissions open across multiple business disciplines at R1 research institution</t>
  </si>
  <si>
    <t>Early deadline Dec 8, 2025; rolling after</t>
  </si>
  <si>
    <t>Office of Research and Doctoral Programs, Fox School of Business</t>
  </si>
  <si>
    <t>University of Mississippi (Ole Miss)</t>
  </si>
  <si>
    <t>MS</t>
  </si>
  <si>
    <t>Mechanical Engineering (HIT Lab)</t>
  </si>
  <si>
    <t>Funded PhD on thermal management challenges in power electronics/microelectronics</t>
  </si>
  <si>
    <t>Spring 2027 or Fall 2027</t>
  </si>
  <si>
    <t>atikadar@olemiss.edu</t>
  </si>
  <si>
    <t>Amitav Tikadar</t>
  </si>
  <si>
    <t>4d</t>
  </si>
  <si>
    <t>Sensorimotor Neuroscience</t>
  </si>
  <si>
    <t>Neuroscience</t>
  </si>
  <si>
    <t>PhD student in sensorimotor neuroscience</t>
  </si>
  <si>
    <t>Start January 2027</t>
  </si>
  <si>
    <t>Not specified (email via profile)</t>
  </si>
  <si>
    <t>Tarkeshwar Singh</t>
  </si>
  <si>
    <t>University of South Carolina</t>
  </si>
  <si>
    <t>Mechanical Engineering</t>
  </si>
  <si>
    <t>Engineering/AI/Operations Research</t>
  </si>
  <si>
    <t>Fully funded PhD - operations research and machine learning, AI-augmented optimization, reinforcement learning, transportation/logistics</t>
  </si>
  <si>
    <t>Spring or Fall 2027</t>
  </si>
  <si>
    <t>https://lnkd.in/ddrx5_hN</t>
  </si>
  <si>
    <t>Zhuoli Yin</t>
  </si>
  <si>
    <t>University of Tennessee, Knoxville (UTK)</t>
  </si>
  <si>
    <t>Earth/Planetary Sciences (isotope geochemistry &amp; geodynamics)</t>
  </si>
  <si>
    <t>Geosciences</t>
  </si>
  <si>
    <t>PhD/MS students to study formation, differentiation, evolution of Earth and planetary bodies</t>
  </si>
  <si>
    <t>Hairuo Fu</t>
  </si>
  <si>
    <t>Massachusetts College of Pharmacy and Health Sciences (MCPHS)</t>
  </si>
  <si>
    <t>Computational Pharmacology / Quantitative Systems Pharmacology</t>
  </si>
  <si>
    <t>Computational Biology/Pharmacology</t>
  </si>
  <si>
    <t>PhD building hybrid mechanistic and ML methods for quantitative systems pharmacology</t>
  </si>
  <si>
    <t>Start September 2027</t>
  </si>
  <si>
    <t>Hamed.GilzadKohan@mcphs.edu</t>
  </si>
  <si>
    <t>https://lnkd.in/gftq-qZK</t>
  </si>
  <si>
    <t>Hamed Gilzad Kohan</t>
  </si>
  <si>
    <t>Clemson University</t>
  </si>
  <si>
    <t>ACE² Lab - IC Design Automation</t>
  </si>
  <si>
    <t>Computer Engineering/Hardware</t>
  </si>
  <si>
    <t>2 PhD students - IC design automation, hardware for ML, monolithic 3D IC EDA, ASIC accelerators for LLM inference</t>
  </si>
  <si>
    <t>https://lnkd.in/eiuXnESj</t>
  </si>
  <si>
    <t>Umamaheswara Rao Tida</t>
  </si>
  <si>
    <t>Department of Biology / Arkansas Biosciences Institute (OPEEL Lab)</t>
  </si>
  <si>
    <t>Plant Biology/Ecology</t>
  </si>
  <si>
    <t>M.S. &amp; PhD in plant systematics, evolution, ecology, and conservation</t>
  </si>
  <si>
    <t>ooyebanji@astate.edu</t>
  </si>
  <si>
    <t>Oyetola Oyebanji</t>
  </si>
  <si>
    <t>1w</t>
  </si>
  <si>
    <t>Sensory Science Center / Global Center for K-Food</t>
  </si>
  <si>
    <t>Food/Sensory Science (interdisciplinary w/ AI, EE, Psych)</t>
  </si>
  <si>
    <t>M.S. or PhD in Sensory and Consumer Science; tuition and stipend support provided</t>
  </si>
  <si>
    <t>Start Spring 2027 or earlier</t>
  </si>
  <si>
    <t>Han-Seok Seo</t>
  </si>
  <si>
    <t>South Dakota State University</t>
  </si>
  <si>
    <t>SD</t>
  </si>
  <si>
    <t>Sensor/Computing/Memory Hardware Integration</t>
  </si>
  <si>
    <t>Electrical Engineering/AI Hardware</t>
  </si>
  <si>
    <t>PhD students for heterogeneous integration of sensor, computing, memory; AI hardware</t>
  </si>
  <si>
    <t>Earliest start Spring 2027; applications due Oct 15</t>
  </si>
  <si>
    <t>yongmin.baek@sdstate.edu</t>
  </si>
  <si>
    <t>Yongmin Baek</t>
  </si>
  <si>
    <t>School of Manufacturing Systems and Networks (Robotics Lab)</t>
  </si>
  <si>
    <t>Robotics/Manufacturing Engineering</t>
  </si>
  <si>
    <t>PhD students for miniature robotic systems, novel designs/manufacturing/smart materials</t>
  </si>
  <si>
    <t>Spring 2027 admission open</t>
  </si>
  <si>
    <t>sukjunki@asu.edu</t>
  </si>
  <si>
    <t>https://lnkd.in/g77wWmm2</t>
  </si>
  <si>
    <t>Sukjun Kim</t>
  </si>
  <si>
    <t>University of Delaware</t>
  </si>
  <si>
    <t>Animal &amp; Food Sciences (Host-Pathogen Interactions Lab)</t>
  </si>
  <si>
    <t>Microbiology/Animal Science</t>
  </si>
  <si>
    <t>PhD student on probiotics/postbiotics in antimicrobial resistance, gut barrier health, nutritional programming</t>
  </si>
  <si>
    <t>Muhammed Shafeekh Muyyarikkandy</t>
  </si>
  <si>
    <t>University of Arizona</t>
  </si>
  <si>
    <t>Ecology &amp; Evolutionary Biology (Gutierrez Lab)</t>
  </si>
  <si>
    <t>PhD students for host-microbiome interactions research using Drosophila melanogaster</t>
  </si>
  <si>
    <t>Dr. Karina Gutierrez-Garcia</t>
  </si>
  <si>
    <t>https://lnkd.in/dxsa7rjN</t>
  </si>
  <si>
    <t>Daniel Assfaw (sharing Gutierrez Lab posting)</t>
  </si>
  <si>
    <t>1h</t>
  </si>
  <si>
    <t>Entomology (Thompson Lab)</t>
  </si>
  <si>
    <t>Entomology/Chemical Ecology</t>
  </si>
  <si>
    <t>PhD position studying chemical ecology of plant-insect interactions</t>
  </si>
  <si>
    <t>International Society of Chemical Ecology (ISCE)</t>
  </si>
  <si>
    <t>Society page (original post)</t>
  </si>
  <si>
    <t>5d</t>
  </si>
  <si>
    <t>Virginia Tech</t>
  </si>
  <si>
    <t>ASTRO Lab - Aerospace/Computational Engineering</t>
  </si>
  <si>
    <t>Engineering/Computational Modeling</t>
  </si>
  <si>
    <t>PhD student in uncertainty quantification (UQ) and Bayesian inference for computational modeling</t>
  </si>
  <si>
    <t>pacar@vt.edu</t>
  </si>
  <si>
    <t>Pinar Acar</t>
  </si>
  <si>
    <t>6d</t>
  </si>
  <si>
    <t>Columbia University</t>
  </si>
  <si>
    <t>Computer Science/AI</t>
  </si>
  <si>
    <t>PhD students for research on causality, AI, experimental design, and biomedical applications</t>
  </si>
  <si>
    <t>Professor starts Jan 2027; apply to CS PhD program this fall</t>
  </si>
  <si>
    <t>jz4255@columbia.edu</t>
  </si>
  <si>
    <t>Jiaqi Zhang</t>
  </si>
  <si>
    <t>Rochester Institute of Technology (RIT)</t>
  </si>
  <si>
    <t>Industrial Engineering (AutoMa Lab)</t>
  </si>
  <si>
    <t>Engineering/AI/Robotics</t>
  </si>
  <si>
    <t>Fully funded PhD students for Autonomous Manufacturing: physics-informed AI, federated learning, additive manufacturing, robotics</t>
  </si>
  <si>
    <t>axleie@rit.edu</t>
  </si>
  <si>
    <t>Anyi Li</t>
  </si>
  <si>
    <t>Mechanical Engineering - Industrial Engineering (MOSAIC Lab)</t>
  </si>
  <si>
    <t>Engineering/Digital Twins</t>
  </si>
  <si>
    <t>2 funded PhD students for digital manufacturing and digital twins research</t>
  </si>
  <si>
    <t>mkatsigiannis@sc.edu</t>
  </si>
  <si>
    <t>Michail Katsigiannis</t>
  </si>
  <si>
    <t>New Mexico State University</t>
  </si>
  <si>
    <t>NM</t>
  </si>
  <si>
    <t>Computer Science (Niu Lab)</t>
  </si>
  <si>
    <t>Multiple fully funded PhD positions in AI for Agriculture (computer vision, robotics, digital twins, precision agriculture)</t>
  </si>
  <si>
    <t>hniu@nmsu.edu</t>
  </si>
  <si>
    <t>Haoyu Niu</t>
  </si>
  <si>
    <t>Texas State University</t>
  </si>
  <si>
    <t>Civil Engineering (AIT Lab - AI in Transportation)</t>
  </si>
  <si>
    <t>Engineering/AI</t>
  </si>
  <si>
    <t>PhD Doctoral Research Assistant - agentic AI for transportation safety and operations research</t>
  </si>
  <si>
    <t>subasish@txstate.edu</t>
  </si>
  <si>
    <t>Subasish Das</t>
  </si>
  <si>
    <t>San Diego State University (SDSU)</t>
  </si>
  <si>
    <t>Cybersecurity Center (SDSU-UCI Joint PhD Program in Computational Science)</t>
  </si>
  <si>
    <t>PhD students in systems security and privacy - software supply chain security, mobile/IoT security, cybercrime</t>
  </si>
  <si>
    <t>Not specified (via 1phan.com)</t>
  </si>
  <si>
    <t>https://1phan.com</t>
  </si>
  <si>
    <t>Yifan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</si>
</sst>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FCE4D6"/>
        <b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DPostings" displayName="PhDPostings" ref="A1:M51" totalsRowShown="0">
  <autoFilter ref="A1:M51" xr:uid="{00000000-0009-0000-0100-000001000000}"/>
  <tableColumns count="13">
    <tableColumn id="1" xr3:uid="{00000000-0010-0000-0000-000001000000}" name="No."/>
    <tableColumn id="2" xr3:uid="{00000000-0010-0000-0000-000002000000}" name="University"/>
    <tableColumn id="3" xr3:uid="{00000000-0010-0000-0000-000003000000}" name="State"/>
    <tableColumn id="4" xr3:uid="{00000000-0010-0000-0000-000004000000}" name="Department / Lab"/>
    <tableColumn id="5" xr3:uid="{00000000-0010-0000-0000-000005000000}" name="Category"/>
    <tableColumn id="6" xr3:uid="{00000000-0010-0000-0000-000006000000}" name="Subfield"/>
    <tableColumn id="7" xr3:uid="{00000000-0010-0000-0000-000007000000}" name="Position Summary"/>
    <tableColumn id="8" xr3:uid="{00000000-0010-0000-0000-000008000000}" name="Start / Deadline"/>
    <tableColumn id="9" xr3:uid="{00000000-0010-0000-0000-000009000000}" name="Contact"/>
    <tableColumn id="10" xr3:uid="{00000000-0010-0000-0000-00000A000000}" name="LinkedIn Post Link"/>
    <tableColumn id="11" xr3:uid="{00000000-0010-0000-0000-00000B000000}" name="Posted By"/>
    <tableColumn id="12" xr3:uid="{00000000-0010-0000-0000-00000C000000}" name="Source Type"/>
    <tableColumn id="13" xr3:uid="{00000000-0010-0000-0000-00000D000000}" name="Post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8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0" customWidth="1"/>
    <col min="3" max="3" width="12" customWidth="1"/>
    <col min="4" max="4" width="14" customWidth="1"/>
  </cols>
  <sheetData>
    <row r="2" spans="2:4" ht="19.7" customHeight="1" x14ac:dyDescent="0.3">
      <c r="B2" s="1" t="s">
        <v>0</v>
      </c>
    </row>
    <row r="3" spans="2:4" ht="15" customHeight="1" x14ac:dyDescent="0.25">
      <c r="B3" s="2" t="s">
        <v>1</v>
      </c>
    </row>
    <row r="4" spans="2:4" ht="15" customHeight="1" x14ac:dyDescent="0.25">
      <c r="B4" s="2" t="s">
        <v>2</v>
      </c>
    </row>
    <row r="6" spans="2:4" ht="15" customHeight="1" x14ac:dyDescent="0.25">
      <c r="B6" s="3" t="s">
        <v>3</v>
      </c>
    </row>
    <row r="7" spans="2:4" ht="15" customHeight="1" x14ac:dyDescent="0.25">
      <c r="B7" s="4" t="s">
        <v>4</v>
      </c>
      <c r="D7" s="5">
        <f>COUNTA('All Postings'!A2:A51)</f>
        <v>50</v>
      </c>
    </row>
    <row r="8" spans="2:4" ht="15" customHeight="1" x14ac:dyDescent="0.25">
      <c r="B8" s="4" t="s">
        <v>5</v>
      </c>
      <c r="D8" s="5">
        <f>COUNTIF('All Postings'!E2:E51,"STEM")</f>
        <v>42</v>
      </c>
    </row>
    <row r="9" spans="2:4" ht="15" customHeight="1" x14ac:dyDescent="0.25">
      <c r="B9" s="4" t="s">
        <v>6</v>
      </c>
      <c r="D9" s="5">
        <f>COUNTIF('All Postings'!E2:E51,"STEM-adjacent")</f>
        <v>3</v>
      </c>
    </row>
    <row r="10" spans="2:4" ht="15" customHeight="1" x14ac:dyDescent="0.25">
      <c r="B10" s="4" t="s">
        <v>7</v>
      </c>
      <c r="D10" s="5">
        <f>COUNTIF('All Postings'!E2:E51,"MBA/Business")</f>
        <v>5</v>
      </c>
    </row>
    <row r="11" spans="2:4" ht="15" customHeight="1" x14ac:dyDescent="0.25">
      <c r="B11" s="4" t="s">
        <v>8</v>
      </c>
      <c r="D11" s="5">
        <f>SUMPRODUCT((COUNTIF('All Postings'!B2:B51,'All Postings'!B2:B51)&gt;0)/COUNTIF('All Postings'!B2:B51,'All Postings'!B2:B51))</f>
        <v>41</v>
      </c>
    </row>
    <row r="13" spans="2:4" ht="15" customHeight="1" x14ac:dyDescent="0.25">
      <c r="B13" s="3" t="s">
        <v>9</v>
      </c>
    </row>
    <row r="14" spans="2:4" ht="15" customHeight="1" x14ac:dyDescent="0.25">
      <c r="B14" s="3" t="s">
        <v>10</v>
      </c>
      <c r="C14" s="3" t="s">
        <v>11</v>
      </c>
    </row>
    <row r="15" spans="2:4" ht="15" customHeight="1" x14ac:dyDescent="0.25">
      <c r="B15" s="4" t="s">
        <v>12</v>
      </c>
      <c r="C15" s="4">
        <f>COUNTIF('All Postings'!C2:C51,"PA")</f>
        <v>6</v>
      </c>
    </row>
    <row r="16" spans="2:4" ht="15" customHeight="1" x14ac:dyDescent="0.25">
      <c r="B16" s="4" t="s">
        <v>13</v>
      </c>
      <c r="C16" s="4">
        <f>COUNTIF('All Postings'!C2:C51,"TX")</f>
        <v>5</v>
      </c>
    </row>
    <row r="17" spans="2:9" ht="15" customHeight="1" x14ac:dyDescent="0.25">
      <c r="B17" s="4" t="s">
        <v>14</v>
      </c>
      <c r="C17" s="4">
        <f>COUNTIF('All Postings'!C2:C51,"AR")</f>
        <v>4</v>
      </c>
    </row>
    <row r="18" spans="2:9" ht="15" customHeight="1" x14ac:dyDescent="0.25">
      <c r="B18" s="4" t="s">
        <v>15</v>
      </c>
      <c r="C18" s="4">
        <f>COUNTIF('All Postings'!C2:C51,"AZ")</f>
        <v>3</v>
      </c>
    </row>
    <row r="19" spans="2:9" ht="15" customHeight="1" x14ac:dyDescent="0.25">
      <c r="B19" s="4" t="s">
        <v>16</v>
      </c>
      <c r="C19" s="4">
        <f>COUNTIF('All Postings'!C2:C51,"CA")</f>
        <v>3</v>
      </c>
    </row>
    <row r="20" spans="2:9" ht="15" customHeight="1" x14ac:dyDescent="0.25">
      <c r="B20" s="4" t="s">
        <v>17</v>
      </c>
      <c r="C20" s="4">
        <f>COUNTIF('All Postings'!C2:C51,"MA")</f>
        <v>3</v>
      </c>
    </row>
    <row r="21" spans="2:9" ht="15" customHeight="1" x14ac:dyDescent="0.25">
      <c r="B21" s="4" t="s">
        <v>18</v>
      </c>
      <c r="C21" s="4">
        <f>COUNTIF('All Postings'!C2:C51,"NY")</f>
        <v>3</v>
      </c>
    </row>
    <row r="22" spans="2:9" ht="15" customHeight="1" x14ac:dyDescent="0.25">
      <c r="B22" s="4" t="s">
        <v>19</v>
      </c>
      <c r="C22" s="4">
        <f>COUNTIF('All Postings'!C2:C51,"SC")</f>
        <v>3</v>
      </c>
    </row>
    <row r="23" spans="2:9" ht="15" customHeight="1" x14ac:dyDescent="0.25">
      <c r="B23" s="4" t="s">
        <v>20</v>
      </c>
      <c r="C23" s="4">
        <f>COUNTIF('All Postings'!C2:C51,"FL")</f>
        <v>2</v>
      </c>
    </row>
    <row r="24" spans="2:9" ht="15" customHeight="1" x14ac:dyDescent="0.25">
      <c r="B24" s="4" t="s">
        <v>21</v>
      </c>
      <c r="C24" s="4">
        <f>COUNTIF('All Postings'!C2:C51,"NC")</f>
        <v>2</v>
      </c>
    </row>
    <row r="25" spans="2:9" ht="15" customHeight="1" x14ac:dyDescent="0.25">
      <c r="B25" s="4" t="s">
        <v>22</v>
      </c>
      <c r="C25" s="4">
        <f>COUNTIF('All Postings'!C2:C51,"TN")</f>
        <v>2</v>
      </c>
    </row>
    <row r="26" spans="2:9" ht="15" customHeight="1" x14ac:dyDescent="0.25">
      <c r="B26" s="4" t="s">
        <v>23</v>
      </c>
      <c r="C26" s="4">
        <f>COUNTIF('All Postings'!C2:C51,"VA")</f>
        <v>2</v>
      </c>
    </row>
    <row r="27" spans="2:9" ht="15" customHeight="1" x14ac:dyDescent="0.25">
      <c r="B27" s="4" t="s">
        <v>24</v>
      </c>
      <c r="C27" s="4">
        <f>COUNTIF('All Postings'!C2:C51,"AK")</f>
        <v>1</v>
      </c>
    </row>
    <row r="28" spans="2:9" ht="15" customHeight="1" x14ac:dyDescent="0.25">
      <c r="B28" s="4" t="s">
        <v>25</v>
      </c>
      <c r="C28" s="4">
        <f>COUNTIF('All Postings'!C2:C51,"DE")</f>
        <v>1</v>
      </c>
    </row>
    <row r="29" spans="2:9" ht="15" customHeight="1" x14ac:dyDescent="0.25">
      <c r="B29" s="4" t="s">
        <v>26</v>
      </c>
      <c r="C29" s="4">
        <f>COUNTIF('All Postings'!C2:C51,"KS")</f>
        <v>1</v>
      </c>
    </row>
    <row r="31" spans="2:9" ht="15" customHeight="1" x14ac:dyDescent="0.25">
      <c r="B31" s="3" t="s">
        <v>27</v>
      </c>
    </row>
    <row r="32" spans="2:9" ht="15" customHeight="1" x14ac:dyDescent="0.25">
      <c r="B32" s="11" t="s">
        <v>28</v>
      </c>
      <c r="C32" s="12"/>
      <c r="D32" s="12"/>
      <c r="E32" s="12"/>
      <c r="F32" s="12"/>
      <c r="G32" s="12"/>
      <c r="H32" s="12"/>
      <c r="I32" s="12"/>
    </row>
    <row r="33" spans="2:9" ht="15" customHeight="1" x14ac:dyDescent="0.25">
      <c r="B33" s="11" t="s">
        <v>29</v>
      </c>
      <c r="C33" s="12"/>
      <c r="D33" s="12"/>
      <c r="E33" s="12"/>
      <c r="F33" s="12"/>
      <c r="G33" s="12"/>
      <c r="H33" s="12"/>
      <c r="I33" s="12"/>
    </row>
    <row r="34" spans="2:9" ht="15" customHeight="1" x14ac:dyDescent="0.25">
      <c r="B34" s="11" t="s">
        <v>30</v>
      </c>
      <c r="C34" s="12"/>
      <c r="D34" s="12"/>
      <c r="E34" s="12"/>
      <c r="F34" s="12"/>
      <c r="G34" s="12"/>
      <c r="H34" s="12"/>
      <c r="I34" s="12"/>
    </row>
    <row r="35" spans="2:9" ht="15" customHeight="1" x14ac:dyDescent="0.25">
      <c r="B35" s="11" t="s">
        <v>31</v>
      </c>
      <c r="C35" s="12"/>
      <c r="D35" s="12"/>
      <c r="E35" s="12"/>
      <c r="F35" s="12"/>
      <c r="G35" s="12"/>
      <c r="H35" s="12"/>
      <c r="I35" s="12"/>
    </row>
    <row r="36" spans="2:9" ht="15" customHeight="1" x14ac:dyDescent="0.25">
      <c r="B36" s="11" t="s">
        <v>32</v>
      </c>
      <c r="C36" s="12"/>
      <c r="D36" s="12"/>
      <c r="E36" s="12"/>
      <c r="F36" s="12"/>
      <c r="G36" s="12"/>
      <c r="H36" s="12"/>
      <c r="I36" s="12"/>
    </row>
    <row r="37" spans="2:9" ht="15" customHeight="1" x14ac:dyDescent="0.25">
      <c r="B37" s="11" t="s">
        <v>33</v>
      </c>
      <c r="C37" s="12"/>
      <c r="D37" s="12"/>
      <c r="E37" s="12"/>
      <c r="F37" s="12"/>
      <c r="G37" s="12"/>
      <c r="H37" s="12"/>
      <c r="I37" s="12"/>
    </row>
    <row r="38" spans="2:9" ht="15" customHeight="1" x14ac:dyDescent="0.25">
      <c r="B38" s="11" t="s">
        <v>34</v>
      </c>
      <c r="C38" s="12"/>
      <c r="D38" s="12"/>
      <c r="E38" s="12"/>
      <c r="F38" s="12"/>
      <c r="G38" s="12"/>
      <c r="H38" s="12"/>
      <c r="I38" s="12"/>
    </row>
  </sheetData>
  <mergeCells count="7">
    <mergeCell ref="B32:I32"/>
    <mergeCell ref="B35:I35"/>
    <mergeCell ref="B33:I33"/>
    <mergeCell ref="B38:I38"/>
    <mergeCell ref="B34:I34"/>
    <mergeCell ref="B36:I36"/>
    <mergeCell ref="B37:I3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showGridLines="0" tabSelected="1" topLeftCell="F1" zoomScaleNormal="100" workbookViewId="0">
      <pane ySplit="1" topLeftCell="A12" activePane="bottomLeft" state="frozen"/>
      <selection pane="bottomLeft"/>
    </sheetView>
  </sheetViews>
  <sheetFormatPr defaultColWidth="8.7109375" defaultRowHeight="15" x14ac:dyDescent="0.25"/>
  <cols>
    <col min="1" max="1" width="18.85546875" customWidth="1"/>
    <col min="2" max="2" width="26" customWidth="1"/>
    <col min="3" max="3" width="22.140625" customWidth="1"/>
    <col min="4" max="4" width="30" customWidth="1"/>
    <col min="5" max="5" width="14" customWidth="1"/>
    <col min="6" max="6" width="26" customWidth="1"/>
    <col min="7" max="7" width="46" customWidth="1"/>
    <col min="8" max="8" width="22" customWidth="1"/>
    <col min="9" max="9" width="26" customWidth="1"/>
    <col min="10" max="10" width="24" customWidth="1"/>
    <col min="11" max="12" width="20" customWidth="1"/>
    <col min="13" max="13" width="10" customWidth="1"/>
  </cols>
  <sheetData>
    <row r="1" spans="1:13" ht="15" customHeight="1" x14ac:dyDescent="0.25">
      <c r="A1" s="6" t="s">
        <v>35</v>
      </c>
      <c r="B1" s="6" t="s">
        <v>36</v>
      </c>
      <c r="C1" s="6" t="s">
        <v>10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46</v>
      </c>
    </row>
    <row r="2" spans="1:13" ht="45.75" customHeight="1" x14ac:dyDescent="0.25">
      <c r="A2" s="7">
        <v>1</v>
      </c>
      <c r="B2" s="8" t="s">
        <v>47</v>
      </c>
      <c r="C2" s="8" t="s">
        <v>12</v>
      </c>
      <c r="D2" s="8" t="s">
        <v>48</v>
      </c>
      <c r="E2" s="9" t="s">
        <v>49</v>
      </c>
      <c r="F2" s="8" t="s">
        <v>50</v>
      </c>
      <c r="G2" s="8" t="s">
        <v>51</v>
      </c>
      <c r="H2" s="8" t="s">
        <v>52</v>
      </c>
      <c r="I2" s="8" t="s">
        <v>52</v>
      </c>
      <c r="J2" s="8" t="s">
        <v>53</v>
      </c>
      <c r="K2" s="8" t="s">
        <v>54</v>
      </c>
      <c r="L2" s="8" t="s">
        <v>55</v>
      </c>
      <c r="M2" s="8" t="s">
        <v>56</v>
      </c>
    </row>
    <row r="3" spans="1:13" ht="45.75" customHeight="1" x14ac:dyDescent="0.25">
      <c r="A3" s="7">
        <v>2</v>
      </c>
      <c r="B3" s="8" t="s">
        <v>57</v>
      </c>
      <c r="C3" s="8" t="s">
        <v>13</v>
      </c>
      <c r="D3" s="8" t="s">
        <v>58</v>
      </c>
      <c r="E3" s="9" t="s">
        <v>49</v>
      </c>
      <c r="F3" s="8" t="s">
        <v>50</v>
      </c>
      <c r="G3" s="8" t="s">
        <v>59</v>
      </c>
      <c r="H3" s="8" t="s">
        <v>60</v>
      </c>
      <c r="I3" s="8" t="s">
        <v>52</v>
      </c>
      <c r="J3" s="8" t="s">
        <v>61</v>
      </c>
      <c r="K3" s="8" t="s">
        <v>62</v>
      </c>
      <c r="L3" s="8" t="s">
        <v>63</v>
      </c>
      <c r="M3" s="8" t="s">
        <v>64</v>
      </c>
    </row>
    <row r="4" spans="1:13" ht="45.75" customHeight="1" x14ac:dyDescent="0.25">
      <c r="A4" s="7">
        <v>3</v>
      </c>
      <c r="B4" s="8" t="s">
        <v>65</v>
      </c>
      <c r="C4" s="8" t="s">
        <v>66</v>
      </c>
      <c r="D4" s="8" t="s">
        <v>67</v>
      </c>
      <c r="E4" s="9" t="s">
        <v>49</v>
      </c>
      <c r="F4" s="8" t="s">
        <v>50</v>
      </c>
      <c r="G4" s="8" t="s">
        <v>68</v>
      </c>
      <c r="H4" s="8" t="s">
        <v>52</v>
      </c>
      <c r="I4" s="8" t="s">
        <v>52</v>
      </c>
      <c r="J4" s="8" t="s">
        <v>69</v>
      </c>
      <c r="K4" s="8" t="s">
        <v>62</v>
      </c>
      <c r="L4" s="8" t="s">
        <v>63</v>
      </c>
      <c r="M4" s="8" t="s">
        <v>64</v>
      </c>
    </row>
    <row r="5" spans="1:13" ht="45.75" customHeight="1" x14ac:dyDescent="0.25">
      <c r="A5" s="7">
        <v>4</v>
      </c>
      <c r="B5" s="8" t="s">
        <v>70</v>
      </c>
      <c r="C5" s="8" t="s">
        <v>71</v>
      </c>
      <c r="D5" s="8" t="s">
        <v>72</v>
      </c>
      <c r="E5" s="9" t="s">
        <v>49</v>
      </c>
      <c r="F5" s="8" t="s">
        <v>73</v>
      </c>
      <c r="G5" s="8" t="s">
        <v>74</v>
      </c>
      <c r="H5" s="8" t="s">
        <v>75</v>
      </c>
      <c r="I5" s="8" t="s">
        <v>76</v>
      </c>
      <c r="J5" s="8" t="s">
        <v>77</v>
      </c>
      <c r="K5" s="8" t="s">
        <v>78</v>
      </c>
      <c r="L5" s="8" t="s">
        <v>79</v>
      </c>
      <c r="M5" s="8" t="s">
        <v>80</v>
      </c>
    </row>
    <row r="6" spans="1:13" ht="45.75" customHeight="1" x14ac:dyDescent="0.25">
      <c r="A6" s="7">
        <v>5</v>
      </c>
      <c r="B6" s="8" t="s">
        <v>81</v>
      </c>
      <c r="C6" s="8" t="s">
        <v>16</v>
      </c>
      <c r="D6" s="8" t="s">
        <v>82</v>
      </c>
      <c r="E6" s="9" t="s">
        <v>49</v>
      </c>
      <c r="F6" s="8" t="s">
        <v>83</v>
      </c>
      <c r="G6" s="8" t="s">
        <v>84</v>
      </c>
      <c r="H6" s="8" t="s">
        <v>52</v>
      </c>
      <c r="I6" s="8" t="s">
        <v>52</v>
      </c>
      <c r="J6" s="8" t="s">
        <v>85</v>
      </c>
      <c r="K6" s="8" t="s">
        <v>62</v>
      </c>
      <c r="L6" s="8" t="s">
        <v>63</v>
      </c>
      <c r="M6" s="8" t="s">
        <v>86</v>
      </c>
    </row>
    <row r="7" spans="1:13" ht="45.75" customHeight="1" x14ac:dyDescent="0.25">
      <c r="A7" s="7">
        <v>6</v>
      </c>
      <c r="B7" s="8" t="s">
        <v>87</v>
      </c>
      <c r="C7" s="8" t="s">
        <v>26</v>
      </c>
      <c r="D7" s="8" t="s">
        <v>88</v>
      </c>
      <c r="E7" s="9" t="s">
        <v>49</v>
      </c>
      <c r="F7" s="8" t="s">
        <v>50</v>
      </c>
      <c r="G7" s="8" t="s">
        <v>89</v>
      </c>
      <c r="H7" s="8" t="s">
        <v>90</v>
      </c>
      <c r="I7" s="8" t="s">
        <v>91</v>
      </c>
      <c r="J7" s="8" t="s">
        <v>92</v>
      </c>
      <c r="K7" s="8" t="s">
        <v>54</v>
      </c>
      <c r="L7" s="8" t="s">
        <v>55</v>
      </c>
      <c r="M7" s="8" t="s">
        <v>93</v>
      </c>
    </row>
    <row r="8" spans="1:13" ht="45.75" customHeight="1" x14ac:dyDescent="0.25">
      <c r="A8" s="7">
        <v>7</v>
      </c>
      <c r="B8" s="8" t="s">
        <v>94</v>
      </c>
      <c r="C8" s="8" t="s">
        <v>21</v>
      </c>
      <c r="D8" s="8" t="s">
        <v>95</v>
      </c>
      <c r="E8" s="9" t="s">
        <v>49</v>
      </c>
      <c r="F8" s="8" t="s">
        <v>96</v>
      </c>
      <c r="G8" s="8" t="s">
        <v>97</v>
      </c>
      <c r="H8" s="8" t="s">
        <v>98</v>
      </c>
      <c r="I8" s="8" t="s">
        <v>52</v>
      </c>
      <c r="J8" s="8"/>
      <c r="K8" s="8" t="s">
        <v>99</v>
      </c>
      <c r="L8" s="8" t="s">
        <v>79</v>
      </c>
      <c r="M8" s="8" t="s">
        <v>93</v>
      </c>
    </row>
    <row r="9" spans="1:13" ht="45.75" customHeight="1" x14ac:dyDescent="0.25">
      <c r="A9" s="7">
        <v>8</v>
      </c>
      <c r="B9" s="8" t="s">
        <v>100</v>
      </c>
      <c r="C9" s="8" t="s">
        <v>18</v>
      </c>
      <c r="D9" s="8" t="s">
        <v>101</v>
      </c>
      <c r="E9" s="9" t="s">
        <v>49</v>
      </c>
      <c r="F9" s="8" t="s">
        <v>50</v>
      </c>
      <c r="G9" s="8" t="s">
        <v>102</v>
      </c>
      <c r="H9" s="8" t="s">
        <v>103</v>
      </c>
      <c r="I9" s="8" t="s">
        <v>104</v>
      </c>
      <c r="J9" s="8"/>
      <c r="K9" s="8" t="s">
        <v>105</v>
      </c>
      <c r="L9" s="8" t="s">
        <v>106</v>
      </c>
      <c r="M9" s="8" t="s">
        <v>52</v>
      </c>
    </row>
    <row r="10" spans="1:13" ht="45.75" customHeight="1" x14ac:dyDescent="0.25">
      <c r="A10" s="7">
        <v>9</v>
      </c>
      <c r="B10" s="8" t="s">
        <v>107</v>
      </c>
      <c r="C10" s="8" t="s">
        <v>23</v>
      </c>
      <c r="D10" s="8" t="s">
        <v>108</v>
      </c>
      <c r="E10" s="9" t="s">
        <v>49</v>
      </c>
      <c r="F10" s="8" t="s">
        <v>109</v>
      </c>
      <c r="G10" s="8" t="s">
        <v>110</v>
      </c>
      <c r="H10" s="8" t="s">
        <v>60</v>
      </c>
      <c r="I10" s="8" t="s">
        <v>52</v>
      </c>
      <c r="J10" s="8"/>
      <c r="K10" s="8" t="s">
        <v>99</v>
      </c>
      <c r="L10" s="8" t="s">
        <v>79</v>
      </c>
      <c r="M10" s="8" t="s">
        <v>56</v>
      </c>
    </row>
    <row r="11" spans="1:13" ht="45.75" customHeight="1" x14ac:dyDescent="0.25">
      <c r="A11" s="7">
        <v>10</v>
      </c>
      <c r="B11" s="8" t="s">
        <v>57</v>
      </c>
      <c r="C11" s="8" t="s">
        <v>13</v>
      </c>
      <c r="D11" s="8" t="s">
        <v>111</v>
      </c>
      <c r="E11" s="9" t="s">
        <v>49</v>
      </c>
      <c r="F11" s="8" t="s">
        <v>50</v>
      </c>
      <c r="G11" s="8" t="s">
        <v>112</v>
      </c>
      <c r="H11" s="8" t="s">
        <v>52</v>
      </c>
      <c r="I11" s="8" t="s">
        <v>52</v>
      </c>
      <c r="J11" s="8" t="s">
        <v>113</v>
      </c>
      <c r="K11" s="8" t="s">
        <v>62</v>
      </c>
      <c r="L11" s="8" t="s">
        <v>63</v>
      </c>
      <c r="M11" s="8" t="s">
        <v>114</v>
      </c>
    </row>
    <row r="12" spans="1:13" ht="45.75" customHeight="1" x14ac:dyDescent="0.25">
      <c r="A12" s="7">
        <v>11</v>
      </c>
      <c r="B12" s="8" t="s">
        <v>115</v>
      </c>
      <c r="C12" s="8" t="s">
        <v>22</v>
      </c>
      <c r="D12" s="8" t="s">
        <v>116</v>
      </c>
      <c r="E12" s="8" t="s">
        <v>117</v>
      </c>
      <c r="F12" s="8" t="s">
        <v>118</v>
      </c>
      <c r="G12" s="8" t="s">
        <v>119</v>
      </c>
      <c r="H12" s="8" t="s">
        <v>52</v>
      </c>
      <c r="I12" s="8" t="s">
        <v>52</v>
      </c>
      <c r="J12" s="8" t="s">
        <v>120</v>
      </c>
      <c r="K12" s="8" t="s">
        <v>62</v>
      </c>
      <c r="L12" s="8" t="s">
        <v>63</v>
      </c>
      <c r="M12" s="8" t="s">
        <v>64</v>
      </c>
    </row>
    <row r="13" spans="1:13" ht="45.75" customHeight="1" x14ac:dyDescent="0.25">
      <c r="A13" s="7">
        <v>12</v>
      </c>
      <c r="B13" s="8" t="s">
        <v>121</v>
      </c>
      <c r="C13" s="8" t="s">
        <v>122</v>
      </c>
      <c r="D13" s="8" t="s">
        <v>116</v>
      </c>
      <c r="E13" s="8" t="s">
        <v>117</v>
      </c>
      <c r="F13" s="8" t="s">
        <v>118</v>
      </c>
      <c r="G13" s="8" t="s">
        <v>119</v>
      </c>
      <c r="H13" s="8" t="s">
        <v>52</v>
      </c>
      <c r="I13" s="8" t="s">
        <v>52</v>
      </c>
      <c r="J13" s="8" t="s">
        <v>120</v>
      </c>
      <c r="K13" s="8" t="s">
        <v>62</v>
      </c>
      <c r="L13" s="8" t="s">
        <v>63</v>
      </c>
      <c r="M13" s="8" t="s">
        <v>64</v>
      </c>
    </row>
    <row r="14" spans="1:13" ht="45.75" customHeight="1" x14ac:dyDescent="0.25">
      <c r="A14" s="7">
        <v>13</v>
      </c>
      <c r="B14" s="8" t="s">
        <v>123</v>
      </c>
      <c r="C14" s="8" t="s">
        <v>13</v>
      </c>
      <c r="D14" s="8" t="s">
        <v>116</v>
      </c>
      <c r="E14" s="8" t="s">
        <v>117</v>
      </c>
      <c r="F14" s="8" t="s">
        <v>118</v>
      </c>
      <c r="G14" s="8" t="s">
        <v>119</v>
      </c>
      <c r="H14" s="8" t="s">
        <v>52</v>
      </c>
      <c r="I14" s="8" t="s">
        <v>52</v>
      </c>
      <c r="J14" s="8" t="s">
        <v>120</v>
      </c>
      <c r="K14" s="8" t="s">
        <v>62</v>
      </c>
      <c r="L14" s="8" t="s">
        <v>63</v>
      </c>
      <c r="M14" s="8" t="s">
        <v>64</v>
      </c>
    </row>
    <row r="15" spans="1:13" ht="45.75" customHeight="1" x14ac:dyDescent="0.25">
      <c r="A15" s="7">
        <v>14</v>
      </c>
      <c r="B15" s="8" t="s">
        <v>124</v>
      </c>
      <c r="C15" s="8" t="s">
        <v>20</v>
      </c>
      <c r="D15" s="8" t="s">
        <v>125</v>
      </c>
      <c r="E15" s="9" t="s">
        <v>49</v>
      </c>
      <c r="F15" s="8" t="s">
        <v>126</v>
      </c>
      <c r="G15" s="8" t="s">
        <v>127</v>
      </c>
      <c r="H15" s="8" t="s">
        <v>128</v>
      </c>
      <c r="I15" s="8" t="s">
        <v>129</v>
      </c>
      <c r="J15" s="8" t="s">
        <v>130</v>
      </c>
      <c r="K15" s="8" t="s">
        <v>131</v>
      </c>
      <c r="L15" s="8" t="s">
        <v>132</v>
      </c>
      <c r="M15" s="8" t="s">
        <v>133</v>
      </c>
    </row>
    <row r="16" spans="1:13" ht="45.75" customHeight="1" x14ac:dyDescent="0.25">
      <c r="A16" s="7">
        <v>15</v>
      </c>
      <c r="B16" s="8" t="s">
        <v>134</v>
      </c>
      <c r="C16" s="8" t="s">
        <v>14</v>
      </c>
      <c r="D16" s="8" t="s">
        <v>52</v>
      </c>
      <c r="E16" s="9" t="s">
        <v>49</v>
      </c>
      <c r="F16" s="8" t="s">
        <v>135</v>
      </c>
      <c r="G16" s="8" t="s">
        <v>136</v>
      </c>
      <c r="H16" s="8" t="s">
        <v>52</v>
      </c>
      <c r="I16" s="8" t="s">
        <v>52</v>
      </c>
      <c r="J16" s="8" t="s">
        <v>137</v>
      </c>
      <c r="K16" s="8" t="s">
        <v>138</v>
      </c>
      <c r="L16" s="8" t="s">
        <v>79</v>
      </c>
      <c r="M16" s="8" t="s">
        <v>133</v>
      </c>
    </row>
    <row r="17" spans="1:13" ht="45.75" customHeight="1" x14ac:dyDescent="0.25">
      <c r="A17" s="7">
        <v>16</v>
      </c>
      <c r="B17" s="8" t="s">
        <v>139</v>
      </c>
      <c r="C17" s="8" t="s">
        <v>21</v>
      </c>
      <c r="D17" s="8" t="s">
        <v>140</v>
      </c>
      <c r="E17" s="9" t="s">
        <v>49</v>
      </c>
      <c r="F17" s="8" t="s">
        <v>141</v>
      </c>
      <c r="G17" s="8" t="s">
        <v>142</v>
      </c>
      <c r="H17" s="8" t="s">
        <v>52</v>
      </c>
      <c r="I17" s="8" t="s">
        <v>52</v>
      </c>
      <c r="J17" s="8" t="s">
        <v>143</v>
      </c>
      <c r="K17" s="8" t="s">
        <v>62</v>
      </c>
      <c r="L17" s="8" t="s">
        <v>63</v>
      </c>
      <c r="M17" s="8" t="s">
        <v>144</v>
      </c>
    </row>
    <row r="18" spans="1:13" ht="45.75" customHeight="1" x14ac:dyDescent="0.25">
      <c r="A18" s="7">
        <v>17</v>
      </c>
      <c r="B18" s="8" t="s">
        <v>145</v>
      </c>
      <c r="C18" s="8" t="s">
        <v>24</v>
      </c>
      <c r="D18" s="8" t="s">
        <v>146</v>
      </c>
      <c r="E18" s="9" t="s">
        <v>49</v>
      </c>
      <c r="F18" s="8" t="s">
        <v>50</v>
      </c>
      <c r="G18" s="8" t="s">
        <v>147</v>
      </c>
      <c r="H18" s="8" t="s">
        <v>148</v>
      </c>
      <c r="I18" s="8" t="s">
        <v>149</v>
      </c>
      <c r="J18" s="8"/>
      <c r="K18" s="8" t="s">
        <v>150</v>
      </c>
      <c r="L18" s="8" t="s">
        <v>151</v>
      </c>
      <c r="M18" s="8" t="s">
        <v>93</v>
      </c>
    </row>
    <row r="19" spans="1:13" ht="45.75" customHeight="1" x14ac:dyDescent="0.25">
      <c r="A19" s="7">
        <v>18</v>
      </c>
      <c r="B19" s="8" t="s">
        <v>152</v>
      </c>
      <c r="C19" s="8" t="s">
        <v>17</v>
      </c>
      <c r="D19" s="8" t="s">
        <v>153</v>
      </c>
      <c r="E19" s="9" t="s">
        <v>49</v>
      </c>
      <c r="F19" s="8" t="s">
        <v>154</v>
      </c>
      <c r="G19" s="8" t="s">
        <v>155</v>
      </c>
      <c r="H19" s="8" t="s">
        <v>156</v>
      </c>
      <c r="I19" s="8" t="s">
        <v>157</v>
      </c>
      <c r="J19" s="8"/>
      <c r="K19" s="8" t="s">
        <v>158</v>
      </c>
      <c r="L19" s="8" t="s">
        <v>159</v>
      </c>
      <c r="M19" s="8" t="s">
        <v>160</v>
      </c>
    </row>
    <row r="20" spans="1:13" ht="45.75" customHeight="1" x14ac:dyDescent="0.25">
      <c r="A20" s="7">
        <v>19</v>
      </c>
      <c r="B20" s="8" t="s">
        <v>161</v>
      </c>
      <c r="C20" s="8" t="s">
        <v>14</v>
      </c>
      <c r="D20" s="8" t="s">
        <v>162</v>
      </c>
      <c r="E20" s="9" t="s">
        <v>49</v>
      </c>
      <c r="F20" s="8" t="s">
        <v>163</v>
      </c>
      <c r="G20" s="8" t="s">
        <v>164</v>
      </c>
      <c r="H20" s="8" t="s">
        <v>165</v>
      </c>
      <c r="I20" s="8" t="s">
        <v>166</v>
      </c>
      <c r="J20" s="8" t="s">
        <v>167</v>
      </c>
      <c r="K20" s="8" t="s">
        <v>168</v>
      </c>
      <c r="L20" s="8" t="s">
        <v>151</v>
      </c>
      <c r="M20" s="8" t="s">
        <v>56</v>
      </c>
    </row>
    <row r="21" spans="1:13" ht="45.75" customHeight="1" x14ac:dyDescent="0.25">
      <c r="A21" s="7">
        <v>20</v>
      </c>
      <c r="B21" s="8" t="s">
        <v>47</v>
      </c>
      <c r="C21" s="8" t="s">
        <v>12</v>
      </c>
      <c r="D21" s="8" t="s">
        <v>169</v>
      </c>
      <c r="E21" s="9" t="s">
        <v>49</v>
      </c>
      <c r="F21" s="8" t="s">
        <v>170</v>
      </c>
      <c r="G21" s="8" t="s">
        <v>171</v>
      </c>
      <c r="H21" s="8" t="s">
        <v>172</v>
      </c>
      <c r="I21" s="8" t="s">
        <v>173</v>
      </c>
      <c r="J21" s="8"/>
      <c r="K21" s="8" t="s">
        <v>174</v>
      </c>
      <c r="L21" s="8" t="s">
        <v>151</v>
      </c>
      <c r="M21" s="8" t="s">
        <v>175</v>
      </c>
    </row>
    <row r="22" spans="1:13" ht="45.75" customHeight="1" x14ac:dyDescent="0.25">
      <c r="A22" s="7">
        <v>21</v>
      </c>
      <c r="B22" s="8" t="s">
        <v>176</v>
      </c>
      <c r="C22" s="8" t="s">
        <v>20</v>
      </c>
      <c r="D22" s="8" t="s">
        <v>177</v>
      </c>
      <c r="E22" s="9" t="s">
        <v>49</v>
      </c>
      <c r="F22" s="8" t="s">
        <v>178</v>
      </c>
      <c r="G22" s="8" t="s">
        <v>179</v>
      </c>
      <c r="H22" s="8" t="s">
        <v>180</v>
      </c>
      <c r="I22" s="8" t="s">
        <v>181</v>
      </c>
      <c r="J22" s="8" t="s">
        <v>182</v>
      </c>
      <c r="K22" s="8" t="s">
        <v>183</v>
      </c>
      <c r="L22" s="8" t="s">
        <v>151</v>
      </c>
      <c r="M22" s="8" t="s">
        <v>133</v>
      </c>
    </row>
    <row r="23" spans="1:13" ht="45.75" customHeight="1" x14ac:dyDescent="0.25">
      <c r="A23" s="7">
        <v>22</v>
      </c>
      <c r="B23" s="8" t="s">
        <v>184</v>
      </c>
      <c r="C23" s="8" t="s">
        <v>15</v>
      </c>
      <c r="D23" s="8" t="s">
        <v>185</v>
      </c>
      <c r="E23" s="9" t="s">
        <v>49</v>
      </c>
      <c r="F23" s="8" t="s">
        <v>186</v>
      </c>
      <c r="G23" s="8" t="s">
        <v>187</v>
      </c>
      <c r="H23" s="8" t="s">
        <v>148</v>
      </c>
      <c r="I23" s="8" t="s">
        <v>188</v>
      </c>
      <c r="J23" s="8"/>
      <c r="K23" s="8" t="s">
        <v>189</v>
      </c>
      <c r="L23" s="8" t="s">
        <v>151</v>
      </c>
      <c r="M23" s="8" t="s">
        <v>93</v>
      </c>
    </row>
    <row r="24" spans="1:13" ht="45.75" customHeight="1" x14ac:dyDescent="0.25">
      <c r="A24" s="7">
        <v>23</v>
      </c>
      <c r="B24" s="8" t="s">
        <v>47</v>
      </c>
      <c r="C24" s="8" t="s">
        <v>12</v>
      </c>
      <c r="D24" s="8" t="s">
        <v>190</v>
      </c>
      <c r="E24" s="9" t="s">
        <v>49</v>
      </c>
      <c r="F24" s="8" t="s">
        <v>191</v>
      </c>
      <c r="G24" s="8" t="s">
        <v>192</v>
      </c>
      <c r="H24" s="8" t="s">
        <v>193</v>
      </c>
      <c r="I24" s="8" t="s">
        <v>194</v>
      </c>
      <c r="J24" s="8"/>
      <c r="K24" s="8" t="s">
        <v>195</v>
      </c>
      <c r="L24" s="8" t="s">
        <v>151</v>
      </c>
      <c r="M24" s="8" t="s">
        <v>196</v>
      </c>
    </row>
    <row r="25" spans="1:13" ht="45.75" customHeight="1" x14ac:dyDescent="0.25">
      <c r="A25" s="7">
        <v>24</v>
      </c>
      <c r="B25" s="8" t="s">
        <v>197</v>
      </c>
      <c r="C25" s="8" t="s">
        <v>198</v>
      </c>
      <c r="D25" s="8" t="s">
        <v>199</v>
      </c>
      <c r="E25" s="9" t="s">
        <v>49</v>
      </c>
      <c r="F25" s="8" t="s">
        <v>200</v>
      </c>
      <c r="G25" s="8" t="s">
        <v>201</v>
      </c>
      <c r="H25" s="8" t="s">
        <v>202</v>
      </c>
      <c r="I25" s="8" t="s">
        <v>203</v>
      </c>
      <c r="J25" s="8"/>
      <c r="K25" s="8" t="s">
        <v>204</v>
      </c>
      <c r="L25" s="8" t="s">
        <v>151</v>
      </c>
      <c r="M25" s="8" t="s">
        <v>205</v>
      </c>
    </row>
    <row r="26" spans="1:13" ht="45.75" customHeight="1" x14ac:dyDescent="0.25">
      <c r="A26" s="7">
        <v>25</v>
      </c>
      <c r="B26" s="8" t="s">
        <v>206</v>
      </c>
      <c r="C26" s="8" t="s">
        <v>13</v>
      </c>
      <c r="D26" s="8" t="s">
        <v>207</v>
      </c>
      <c r="E26" s="9" t="s">
        <v>49</v>
      </c>
      <c r="F26" s="8" t="s">
        <v>208</v>
      </c>
      <c r="G26" s="8" t="s">
        <v>209</v>
      </c>
      <c r="H26" s="8" t="s">
        <v>210</v>
      </c>
      <c r="I26" s="8" t="s">
        <v>211</v>
      </c>
      <c r="J26" s="8"/>
      <c r="K26" s="8" t="s">
        <v>212</v>
      </c>
      <c r="L26" s="8" t="s">
        <v>151</v>
      </c>
      <c r="M26" s="8" t="s">
        <v>133</v>
      </c>
    </row>
    <row r="27" spans="1:13" ht="45.75" customHeight="1" x14ac:dyDescent="0.25">
      <c r="A27" s="7">
        <v>26</v>
      </c>
      <c r="B27" s="8" t="s">
        <v>213</v>
      </c>
      <c r="C27" s="8" t="s">
        <v>214</v>
      </c>
      <c r="D27" s="8" t="s">
        <v>215</v>
      </c>
      <c r="E27" s="10" t="s">
        <v>216</v>
      </c>
      <c r="F27" s="8" t="s">
        <v>217</v>
      </c>
      <c r="G27" s="8" t="s">
        <v>218</v>
      </c>
      <c r="H27" s="8" t="s">
        <v>219</v>
      </c>
      <c r="I27" s="8" t="s">
        <v>52</v>
      </c>
      <c r="J27" s="8" t="s">
        <v>220</v>
      </c>
      <c r="K27" s="8" t="s">
        <v>221</v>
      </c>
      <c r="L27" s="8" t="s">
        <v>222</v>
      </c>
      <c r="M27" s="8" t="s">
        <v>64</v>
      </c>
    </row>
    <row r="28" spans="1:13" ht="45.75" customHeight="1" x14ac:dyDescent="0.25">
      <c r="A28" s="7">
        <v>27</v>
      </c>
      <c r="B28" s="8" t="s">
        <v>223</v>
      </c>
      <c r="C28" s="8" t="s">
        <v>12</v>
      </c>
      <c r="D28" s="8" t="s">
        <v>224</v>
      </c>
      <c r="E28" s="10" t="s">
        <v>216</v>
      </c>
      <c r="F28" s="8" t="s">
        <v>225</v>
      </c>
      <c r="G28" s="8" t="s">
        <v>226</v>
      </c>
      <c r="H28" s="8" t="s">
        <v>156</v>
      </c>
      <c r="I28" s="8" t="s">
        <v>52</v>
      </c>
      <c r="J28" s="8" t="s">
        <v>227</v>
      </c>
      <c r="K28" s="8" t="s">
        <v>228</v>
      </c>
      <c r="L28" s="8" t="s">
        <v>222</v>
      </c>
      <c r="M28" s="8" t="s">
        <v>229</v>
      </c>
    </row>
    <row r="29" spans="1:13" ht="45.75" customHeight="1" x14ac:dyDescent="0.25">
      <c r="A29" s="7">
        <v>28</v>
      </c>
      <c r="B29" s="8" t="s">
        <v>230</v>
      </c>
      <c r="C29" s="8" t="s">
        <v>17</v>
      </c>
      <c r="D29" s="8" t="s">
        <v>231</v>
      </c>
      <c r="E29" s="10" t="s">
        <v>216</v>
      </c>
      <c r="F29" s="8" t="s">
        <v>225</v>
      </c>
      <c r="G29" s="8" t="s">
        <v>232</v>
      </c>
      <c r="H29" s="8" t="s">
        <v>233</v>
      </c>
      <c r="I29" s="8" t="s">
        <v>52</v>
      </c>
      <c r="J29" s="8" t="s">
        <v>234</v>
      </c>
      <c r="K29" s="8" t="s">
        <v>230</v>
      </c>
      <c r="L29" s="8" t="s">
        <v>222</v>
      </c>
      <c r="M29" s="8" t="s">
        <v>235</v>
      </c>
    </row>
    <row r="30" spans="1:13" ht="45.75" customHeight="1" x14ac:dyDescent="0.25">
      <c r="A30" s="7">
        <v>29</v>
      </c>
      <c r="B30" s="8" t="s">
        <v>236</v>
      </c>
      <c r="C30" s="8" t="s">
        <v>237</v>
      </c>
      <c r="D30" s="8" t="s">
        <v>238</v>
      </c>
      <c r="E30" s="10" t="s">
        <v>216</v>
      </c>
      <c r="F30" s="8" t="s">
        <v>239</v>
      </c>
      <c r="G30" s="8" t="s">
        <v>240</v>
      </c>
      <c r="H30" s="8" t="s">
        <v>241</v>
      </c>
      <c r="I30" s="8" t="s">
        <v>52</v>
      </c>
      <c r="J30" s="8"/>
      <c r="K30" s="8" t="s">
        <v>242</v>
      </c>
      <c r="L30" s="8" t="s">
        <v>151</v>
      </c>
      <c r="M30" s="8" t="s">
        <v>243</v>
      </c>
    </row>
    <row r="31" spans="1:13" ht="45.75" customHeight="1" x14ac:dyDescent="0.25">
      <c r="A31" s="7">
        <v>30</v>
      </c>
      <c r="B31" s="8" t="s">
        <v>244</v>
      </c>
      <c r="C31" s="8" t="s">
        <v>12</v>
      </c>
      <c r="D31" s="8" t="s">
        <v>245</v>
      </c>
      <c r="E31" s="10" t="s">
        <v>216</v>
      </c>
      <c r="F31" s="8" t="s">
        <v>225</v>
      </c>
      <c r="G31" s="8" t="s">
        <v>246</v>
      </c>
      <c r="H31" s="8" t="s">
        <v>247</v>
      </c>
      <c r="I31" s="8" t="s">
        <v>52</v>
      </c>
      <c r="J31" s="8"/>
      <c r="K31" s="8" t="s">
        <v>248</v>
      </c>
      <c r="L31" s="8" t="s">
        <v>222</v>
      </c>
      <c r="M31" s="8" t="s">
        <v>175</v>
      </c>
    </row>
    <row r="32" spans="1:13" ht="45.75" customHeight="1" x14ac:dyDescent="0.25">
      <c r="A32" s="7">
        <v>31</v>
      </c>
      <c r="B32" s="8" t="s">
        <v>249</v>
      </c>
      <c r="C32" s="8" t="s">
        <v>250</v>
      </c>
      <c r="D32" s="8" t="s">
        <v>251</v>
      </c>
      <c r="E32" s="9" t="s">
        <v>49</v>
      </c>
      <c r="F32" s="8" t="s">
        <v>50</v>
      </c>
      <c r="G32" s="8" t="s">
        <v>252</v>
      </c>
      <c r="H32" s="8" t="s">
        <v>253</v>
      </c>
      <c r="I32" s="8" t="s">
        <v>254</v>
      </c>
      <c r="J32" s="8"/>
      <c r="K32" s="8" t="s">
        <v>255</v>
      </c>
      <c r="L32" s="8" t="s">
        <v>151</v>
      </c>
      <c r="M32" s="8" t="s">
        <v>256</v>
      </c>
    </row>
    <row r="33" spans="1:13" ht="45.75" customHeight="1" x14ac:dyDescent="0.25">
      <c r="A33" s="7">
        <v>32</v>
      </c>
      <c r="B33" s="8" t="s">
        <v>47</v>
      </c>
      <c r="C33" s="8" t="s">
        <v>12</v>
      </c>
      <c r="D33" s="8" t="s">
        <v>257</v>
      </c>
      <c r="E33" s="9" t="s">
        <v>49</v>
      </c>
      <c r="F33" s="8" t="s">
        <v>258</v>
      </c>
      <c r="G33" s="8" t="s">
        <v>259</v>
      </c>
      <c r="H33" s="8" t="s">
        <v>260</v>
      </c>
      <c r="I33" s="8" t="s">
        <v>261</v>
      </c>
      <c r="J33" s="8"/>
      <c r="K33" s="8" t="s">
        <v>262</v>
      </c>
      <c r="L33" s="8" t="s">
        <v>151</v>
      </c>
      <c r="M33" s="8" t="s">
        <v>93</v>
      </c>
    </row>
    <row r="34" spans="1:13" ht="45.75" customHeight="1" x14ac:dyDescent="0.25">
      <c r="A34" s="7">
        <v>33</v>
      </c>
      <c r="B34" s="8" t="s">
        <v>263</v>
      </c>
      <c r="C34" s="8" t="s">
        <v>19</v>
      </c>
      <c r="D34" s="8" t="s">
        <v>264</v>
      </c>
      <c r="E34" s="9" t="s">
        <v>49</v>
      </c>
      <c r="F34" s="8" t="s">
        <v>265</v>
      </c>
      <c r="G34" s="8" t="s">
        <v>266</v>
      </c>
      <c r="H34" s="8" t="s">
        <v>267</v>
      </c>
      <c r="I34" s="8" t="s">
        <v>52</v>
      </c>
      <c r="J34" s="8" t="s">
        <v>268</v>
      </c>
      <c r="K34" s="8" t="s">
        <v>269</v>
      </c>
      <c r="L34" s="8" t="s">
        <v>151</v>
      </c>
      <c r="M34" s="8" t="s">
        <v>56</v>
      </c>
    </row>
    <row r="35" spans="1:13" ht="45.75" customHeight="1" x14ac:dyDescent="0.25">
      <c r="A35" s="7">
        <v>34</v>
      </c>
      <c r="B35" s="8" t="s">
        <v>270</v>
      </c>
      <c r="C35" s="8" t="s">
        <v>22</v>
      </c>
      <c r="D35" s="8" t="s">
        <v>271</v>
      </c>
      <c r="E35" s="9" t="s">
        <v>49</v>
      </c>
      <c r="F35" s="8" t="s">
        <v>272</v>
      </c>
      <c r="G35" s="8" t="s">
        <v>273</v>
      </c>
      <c r="H35" s="8" t="s">
        <v>156</v>
      </c>
      <c r="I35" s="8" t="s">
        <v>52</v>
      </c>
      <c r="J35" s="8"/>
      <c r="K35" s="8" t="s">
        <v>274</v>
      </c>
      <c r="L35" s="8" t="s">
        <v>151</v>
      </c>
      <c r="M35" s="8" t="s">
        <v>93</v>
      </c>
    </row>
    <row r="36" spans="1:13" ht="45.75" customHeight="1" x14ac:dyDescent="0.25">
      <c r="A36" s="7">
        <v>35</v>
      </c>
      <c r="B36" s="8" t="s">
        <v>275</v>
      </c>
      <c r="C36" s="8" t="s">
        <v>17</v>
      </c>
      <c r="D36" s="8" t="s">
        <v>276</v>
      </c>
      <c r="E36" s="9" t="s">
        <v>49</v>
      </c>
      <c r="F36" s="8" t="s">
        <v>277</v>
      </c>
      <c r="G36" s="8" t="s">
        <v>278</v>
      </c>
      <c r="H36" s="8" t="s">
        <v>279</v>
      </c>
      <c r="I36" s="8" t="s">
        <v>280</v>
      </c>
      <c r="J36" s="8" t="s">
        <v>281</v>
      </c>
      <c r="K36" s="8" t="s">
        <v>282</v>
      </c>
      <c r="L36" s="8" t="s">
        <v>151</v>
      </c>
      <c r="M36" s="8" t="s">
        <v>80</v>
      </c>
    </row>
    <row r="37" spans="1:13" ht="45.75" customHeight="1" x14ac:dyDescent="0.25">
      <c r="A37" s="7">
        <v>36</v>
      </c>
      <c r="B37" s="8" t="s">
        <v>283</v>
      </c>
      <c r="C37" s="8" t="s">
        <v>19</v>
      </c>
      <c r="D37" s="8" t="s">
        <v>284</v>
      </c>
      <c r="E37" s="9" t="s">
        <v>49</v>
      </c>
      <c r="F37" s="8" t="s">
        <v>285</v>
      </c>
      <c r="G37" s="8" t="s">
        <v>286</v>
      </c>
      <c r="H37" s="8" t="s">
        <v>253</v>
      </c>
      <c r="I37" s="8" t="s">
        <v>52</v>
      </c>
      <c r="J37" s="8" t="s">
        <v>287</v>
      </c>
      <c r="K37" s="8" t="s">
        <v>288</v>
      </c>
      <c r="L37" s="8" t="s">
        <v>151</v>
      </c>
      <c r="M37" s="8" t="s">
        <v>229</v>
      </c>
    </row>
    <row r="38" spans="1:13" ht="45.75" customHeight="1" x14ac:dyDescent="0.25">
      <c r="A38" s="7">
        <v>37</v>
      </c>
      <c r="B38" s="8" t="s">
        <v>161</v>
      </c>
      <c r="C38" s="8" t="s">
        <v>14</v>
      </c>
      <c r="D38" s="8" t="s">
        <v>289</v>
      </c>
      <c r="E38" s="9" t="s">
        <v>49</v>
      </c>
      <c r="F38" s="8" t="s">
        <v>290</v>
      </c>
      <c r="G38" s="8" t="s">
        <v>291</v>
      </c>
      <c r="H38" s="8" t="s">
        <v>165</v>
      </c>
      <c r="I38" s="8" t="s">
        <v>292</v>
      </c>
      <c r="J38" s="8"/>
      <c r="K38" s="8" t="s">
        <v>293</v>
      </c>
      <c r="L38" s="8" t="s">
        <v>151</v>
      </c>
      <c r="M38" s="8" t="s">
        <v>294</v>
      </c>
    </row>
    <row r="39" spans="1:13" ht="45.75" customHeight="1" x14ac:dyDescent="0.25">
      <c r="A39" s="7">
        <v>38</v>
      </c>
      <c r="B39" s="8" t="s">
        <v>134</v>
      </c>
      <c r="C39" s="8" t="s">
        <v>14</v>
      </c>
      <c r="D39" s="8" t="s">
        <v>295</v>
      </c>
      <c r="E39" s="9" t="s">
        <v>49</v>
      </c>
      <c r="F39" s="8" t="s">
        <v>296</v>
      </c>
      <c r="G39" s="8" t="s">
        <v>297</v>
      </c>
      <c r="H39" s="8" t="s">
        <v>298</v>
      </c>
      <c r="I39" s="8" t="s">
        <v>52</v>
      </c>
      <c r="J39" s="8"/>
      <c r="K39" s="8" t="s">
        <v>299</v>
      </c>
      <c r="L39" s="8" t="s">
        <v>151</v>
      </c>
      <c r="M39" s="8" t="s">
        <v>93</v>
      </c>
    </row>
    <row r="40" spans="1:13" ht="45.75" customHeight="1" x14ac:dyDescent="0.25">
      <c r="A40" s="7">
        <v>39</v>
      </c>
      <c r="B40" s="8" t="s">
        <v>300</v>
      </c>
      <c r="C40" s="8" t="s">
        <v>301</v>
      </c>
      <c r="D40" s="8" t="s">
        <v>302</v>
      </c>
      <c r="E40" s="9" t="s">
        <v>49</v>
      </c>
      <c r="F40" s="8" t="s">
        <v>303</v>
      </c>
      <c r="G40" s="8" t="s">
        <v>304</v>
      </c>
      <c r="H40" s="8" t="s">
        <v>305</v>
      </c>
      <c r="I40" s="8" t="s">
        <v>306</v>
      </c>
      <c r="J40" s="8"/>
      <c r="K40" s="8" t="s">
        <v>307</v>
      </c>
      <c r="L40" s="8" t="s">
        <v>151</v>
      </c>
      <c r="M40" s="8" t="s">
        <v>229</v>
      </c>
    </row>
    <row r="41" spans="1:13" ht="45.75" customHeight="1" x14ac:dyDescent="0.25">
      <c r="A41" s="7">
        <v>40</v>
      </c>
      <c r="B41" s="8" t="s">
        <v>184</v>
      </c>
      <c r="C41" s="8" t="s">
        <v>15</v>
      </c>
      <c r="D41" s="8" t="s">
        <v>308</v>
      </c>
      <c r="E41" s="9" t="s">
        <v>49</v>
      </c>
      <c r="F41" s="8" t="s">
        <v>309</v>
      </c>
      <c r="G41" s="8" t="s">
        <v>310</v>
      </c>
      <c r="H41" s="8" t="s">
        <v>311</v>
      </c>
      <c r="I41" s="8" t="s">
        <v>312</v>
      </c>
      <c r="J41" s="8" t="s">
        <v>313</v>
      </c>
      <c r="K41" s="8" t="s">
        <v>314</v>
      </c>
      <c r="L41" s="8" t="s">
        <v>151</v>
      </c>
      <c r="M41" s="8" t="s">
        <v>205</v>
      </c>
    </row>
    <row r="42" spans="1:13" ht="45.75" customHeight="1" x14ac:dyDescent="0.25">
      <c r="A42" s="7">
        <v>41</v>
      </c>
      <c r="B42" s="8" t="s">
        <v>315</v>
      </c>
      <c r="C42" s="8" t="s">
        <v>25</v>
      </c>
      <c r="D42" s="8" t="s">
        <v>316</v>
      </c>
      <c r="E42" s="9" t="s">
        <v>49</v>
      </c>
      <c r="F42" s="8" t="s">
        <v>317</v>
      </c>
      <c r="G42" s="8" t="s">
        <v>318</v>
      </c>
      <c r="H42" s="8" t="s">
        <v>148</v>
      </c>
      <c r="I42" s="8" t="s">
        <v>52</v>
      </c>
      <c r="J42" s="8"/>
      <c r="K42" s="8" t="s">
        <v>319</v>
      </c>
      <c r="L42" s="8" t="s">
        <v>151</v>
      </c>
      <c r="M42" s="8" t="s">
        <v>80</v>
      </c>
    </row>
    <row r="43" spans="1:13" ht="45.75" customHeight="1" x14ac:dyDescent="0.25">
      <c r="A43" s="7">
        <v>42</v>
      </c>
      <c r="B43" s="8" t="s">
        <v>320</v>
      </c>
      <c r="C43" s="8" t="s">
        <v>15</v>
      </c>
      <c r="D43" s="8" t="s">
        <v>321</v>
      </c>
      <c r="E43" s="9" t="s">
        <v>49</v>
      </c>
      <c r="F43" s="8" t="s">
        <v>73</v>
      </c>
      <c r="G43" s="8" t="s">
        <v>322</v>
      </c>
      <c r="H43" s="8" t="s">
        <v>156</v>
      </c>
      <c r="I43" s="8" t="s">
        <v>323</v>
      </c>
      <c r="J43" s="8" t="s">
        <v>324</v>
      </c>
      <c r="K43" s="8" t="s">
        <v>325</v>
      </c>
      <c r="L43" s="8" t="s">
        <v>151</v>
      </c>
      <c r="M43" s="8" t="s">
        <v>326</v>
      </c>
    </row>
    <row r="44" spans="1:13" ht="45.75" customHeight="1" x14ac:dyDescent="0.25">
      <c r="A44" s="7">
        <v>43</v>
      </c>
      <c r="B44" s="8" t="s">
        <v>81</v>
      </c>
      <c r="C44" s="8" t="s">
        <v>16</v>
      </c>
      <c r="D44" s="8" t="s">
        <v>327</v>
      </c>
      <c r="E44" s="9" t="s">
        <v>49</v>
      </c>
      <c r="F44" s="8" t="s">
        <v>328</v>
      </c>
      <c r="G44" s="8" t="s">
        <v>329</v>
      </c>
      <c r="H44" s="8" t="s">
        <v>52</v>
      </c>
      <c r="I44" s="8" t="s">
        <v>52</v>
      </c>
      <c r="J44" s="8"/>
      <c r="K44" s="8" t="s">
        <v>330</v>
      </c>
      <c r="L44" s="8" t="s">
        <v>331</v>
      </c>
      <c r="M44" s="8" t="s">
        <v>332</v>
      </c>
    </row>
    <row r="45" spans="1:13" ht="45.75" customHeight="1" x14ac:dyDescent="0.25">
      <c r="A45" s="7">
        <v>44</v>
      </c>
      <c r="B45" s="8" t="s">
        <v>333</v>
      </c>
      <c r="C45" s="8" t="s">
        <v>23</v>
      </c>
      <c r="D45" s="8" t="s">
        <v>334</v>
      </c>
      <c r="E45" s="9" t="s">
        <v>49</v>
      </c>
      <c r="F45" s="8" t="s">
        <v>335</v>
      </c>
      <c r="G45" s="8" t="s">
        <v>336</v>
      </c>
      <c r="H45" s="8" t="s">
        <v>148</v>
      </c>
      <c r="I45" s="8" t="s">
        <v>337</v>
      </c>
      <c r="J45" s="8"/>
      <c r="K45" s="8" t="s">
        <v>338</v>
      </c>
      <c r="L45" s="8" t="s">
        <v>151</v>
      </c>
      <c r="M45" s="8" t="s">
        <v>339</v>
      </c>
    </row>
    <row r="46" spans="1:13" ht="45.75" customHeight="1" x14ac:dyDescent="0.25">
      <c r="A46" s="7">
        <v>45</v>
      </c>
      <c r="B46" s="8" t="s">
        <v>340</v>
      </c>
      <c r="C46" s="8" t="s">
        <v>18</v>
      </c>
      <c r="D46" s="8" t="s">
        <v>141</v>
      </c>
      <c r="E46" s="9" t="s">
        <v>49</v>
      </c>
      <c r="F46" s="8" t="s">
        <v>341</v>
      </c>
      <c r="G46" s="8" t="s">
        <v>342</v>
      </c>
      <c r="H46" s="8" t="s">
        <v>343</v>
      </c>
      <c r="I46" s="8" t="s">
        <v>344</v>
      </c>
      <c r="J46" s="8"/>
      <c r="K46" s="8" t="s">
        <v>345</v>
      </c>
      <c r="L46" s="8" t="s">
        <v>151</v>
      </c>
      <c r="M46" s="8" t="s">
        <v>339</v>
      </c>
    </row>
    <row r="47" spans="1:13" ht="45.75" customHeight="1" x14ac:dyDescent="0.25">
      <c r="A47" s="7">
        <v>46</v>
      </c>
      <c r="B47" s="8" t="s">
        <v>346</v>
      </c>
      <c r="C47" s="8" t="s">
        <v>18</v>
      </c>
      <c r="D47" s="8" t="s">
        <v>347</v>
      </c>
      <c r="E47" s="9" t="s">
        <v>49</v>
      </c>
      <c r="F47" s="8" t="s">
        <v>348</v>
      </c>
      <c r="G47" s="8" t="s">
        <v>349</v>
      </c>
      <c r="H47" s="8" t="s">
        <v>267</v>
      </c>
      <c r="I47" s="8" t="s">
        <v>350</v>
      </c>
      <c r="J47" s="8"/>
      <c r="K47" s="8" t="s">
        <v>351</v>
      </c>
      <c r="L47" s="8" t="s">
        <v>151</v>
      </c>
      <c r="M47" s="8" t="s">
        <v>93</v>
      </c>
    </row>
    <row r="48" spans="1:13" ht="45.75" customHeight="1" x14ac:dyDescent="0.25">
      <c r="A48" s="7">
        <v>47</v>
      </c>
      <c r="B48" s="8" t="s">
        <v>263</v>
      </c>
      <c r="C48" s="8" t="s">
        <v>19</v>
      </c>
      <c r="D48" s="8" t="s">
        <v>352</v>
      </c>
      <c r="E48" s="9" t="s">
        <v>49</v>
      </c>
      <c r="F48" s="8" t="s">
        <v>353</v>
      </c>
      <c r="G48" s="8" t="s">
        <v>354</v>
      </c>
      <c r="H48" s="8" t="s">
        <v>267</v>
      </c>
      <c r="I48" s="8" t="s">
        <v>355</v>
      </c>
      <c r="J48" s="8"/>
      <c r="K48" s="8" t="s">
        <v>356</v>
      </c>
      <c r="L48" s="8" t="s">
        <v>151</v>
      </c>
      <c r="M48" s="8" t="s">
        <v>339</v>
      </c>
    </row>
    <row r="49" spans="1:13" ht="45.75" customHeight="1" x14ac:dyDescent="0.25">
      <c r="A49" s="7">
        <v>48</v>
      </c>
      <c r="B49" s="8" t="s">
        <v>357</v>
      </c>
      <c r="C49" s="8" t="s">
        <v>358</v>
      </c>
      <c r="D49" s="8" t="s">
        <v>359</v>
      </c>
      <c r="E49" s="9" t="s">
        <v>49</v>
      </c>
      <c r="F49" s="8" t="s">
        <v>341</v>
      </c>
      <c r="G49" s="8" t="s">
        <v>360</v>
      </c>
      <c r="H49" s="8" t="s">
        <v>267</v>
      </c>
      <c r="I49" s="8" t="s">
        <v>361</v>
      </c>
      <c r="J49" s="8"/>
      <c r="K49" s="8" t="s">
        <v>362</v>
      </c>
      <c r="L49" s="8" t="s">
        <v>151</v>
      </c>
      <c r="M49" s="8" t="s">
        <v>80</v>
      </c>
    </row>
    <row r="50" spans="1:13" ht="45.75" customHeight="1" x14ac:dyDescent="0.25">
      <c r="A50" s="7">
        <v>49</v>
      </c>
      <c r="B50" s="8" t="s">
        <v>363</v>
      </c>
      <c r="C50" s="8" t="s">
        <v>13</v>
      </c>
      <c r="D50" s="8" t="s">
        <v>364</v>
      </c>
      <c r="E50" s="9" t="s">
        <v>49</v>
      </c>
      <c r="F50" s="8" t="s">
        <v>365</v>
      </c>
      <c r="G50" s="8" t="s">
        <v>366</v>
      </c>
      <c r="H50" s="8" t="s">
        <v>148</v>
      </c>
      <c r="I50" s="8" t="s">
        <v>367</v>
      </c>
      <c r="J50" s="8"/>
      <c r="K50" s="8" t="s">
        <v>368</v>
      </c>
      <c r="L50" s="8" t="s">
        <v>151</v>
      </c>
      <c r="M50" s="8" t="s">
        <v>144</v>
      </c>
    </row>
    <row r="51" spans="1:13" ht="45.75" customHeight="1" x14ac:dyDescent="0.25">
      <c r="A51" s="7">
        <v>50</v>
      </c>
      <c r="B51" s="8" t="s">
        <v>369</v>
      </c>
      <c r="C51" s="8" t="s">
        <v>16</v>
      </c>
      <c r="D51" s="8" t="s">
        <v>370</v>
      </c>
      <c r="E51" s="9" t="s">
        <v>49</v>
      </c>
      <c r="F51" s="8" t="s">
        <v>208</v>
      </c>
      <c r="G51" s="8" t="s">
        <v>371</v>
      </c>
      <c r="H51" s="8" t="s">
        <v>52</v>
      </c>
      <c r="I51" s="8" t="s">
        <v>372</v>
      </c>
      <c r="J51" s="8" t="s">
        <v>373</v>
      </c>
      <c r="K51" s="8" t="s">
        <v>374</v>
      </c>
      <c r="L51" s="8" t="s">
        <v>151</v>
      </c>
      <c r="M51" s="8" t="s">
        <v>93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Postings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Sunanda Biswas</cp:lastModifiedBy>
  <cp:revision>0</cp:revision>
  <dcterms:created xsi:type="dcterms:W3CDTF">2026-09-16T06:51:48Z</dcterms:created>
  <dcterms:modified xsi:type="dcterms:W3CDTF">2026-09-17T08:24:15Z</dcterms:modified>
  <dc:language>en-US</dc:language>
</cp:coreProperties>
</file>